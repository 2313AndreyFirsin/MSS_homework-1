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9" codeName="{3D1A710C-6663-3D7B-7F91-EC182F24A4BC}"/>
  <workbookPr filterPrivacy="1" codeName="ЭтаКнига" defaultThemeVersion="124226"/>
  <xr:revisionPtr revIDLastSave="0" documentId="13_ncr:1_{E77C2882-DDE3-4634-BD37-38543D6B9C8D}" xr6:coauthVersionLast="36" xr6:coauthVersionMax="36" xr10:uidLastSave="{00000000-0000-0000-0000-000000000000}"/>
  <bookViews>
    <workbookView xWindow="240" yWindow="105" windowWidth="14805" windowHeight="7485" xr2:uid="{00000000-000D-0000-FFFF-FFFF00000000}"/>
  </bookViews>
  <sheets>
    <sheet name="Явная схема" sheetId="1" r:id="rId1"/>
    <sheet name="Неявная схема" sheetId="3" r:id="rId2"/>
  </sheets>
  <externalReferences>
    <externalReference r:id="rId3"/>
    <externalReference r:id="rId4"/>
    <externalReference r:id="rId5"/>
    <externalReference r:id="rId6"/>
  </externalReferences>
  <calcPr calcId="191029"/>
</workbook>
</file>

<file path=xl/calcChain.xml><?xml version="1.0" encoding="utf-8"?>
<calcChain xmlns="http://schemas.openxmlformats.org/spreadsheetml/2006/main">
  <c r="C4" i="1" l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E4" i="3"/>
  <c r="C5" i="1" l="1"/>
  <c r="AI15" i="1" l="1"/>
  <c r="AA15" i="1"/>
  <c r="S15" i="1"/>
  <c r="K15" i="1"/>
  <c r="Z15" i="1"/>
  <c r="J15" i="1"/>
  <c r="M15" i="1"/>
  <c r="AH15" i="1"/>
  <c r="AG15" i="1"/>
  <c r="Y15" i="1"/>
  <c r="Q15" i="1"/>
  <c r="I15" i="1"/>
  <c r="AD15" i="1"/>
  <c r="N15" i="1"/>
  <c r="U15" i="1"/>
  <c r="AF15" i="1"/>
  <c r="X15" i="1"/>
  <c r="P15" i="1"/>
  <c r="H15" i="1"/>
  <c r="V15" i="1"/>
  <c r="AE15" i="1"/>
  <c r="W15" i="1"/>
  <c r="O15" i="1"/>
  <c r="G15" i="1"/>
  <c r="AB15" i="1"/>
  <c r="T15" i="1"/>
  <c r="L15" i="1"/>
  <c r="R15" i="1"/>
  <c r="AC15" i="1"/>
  <c r="F21" i="3" l="1"/>
  <c r="AJ16" i="3"/>
  <c r="C4" i="3"/>
  <c r="G13" i="3" l="1"/>
  <c r="H13" i="3" s="1"/>
  <c r="I13" i="3" s="1"/>
  <c r="J13" i="3" s="1"/>
  <c r="K13" i="3" s="1"/>
  <c r="L13" i="3" s="1"/>
  <c r="M13" i="3" s="1"/>
  <c r="N13" i="3" s="1"/>
  <c r="O13" i="3" s="1"/>
  <c r="P13" i="3" s="1"/>
  <c r="Q13" i="3" s="1"/>
  <c r="R13" i="3" s="1"/>
  <c r="S13" i="3" s="1"/>
  <c r="T13" i="3" s="1"/>
  <c r="U13" i="3" s="1"/>
  <c r="V13" i="3" s="1"/>
  <c r="W13" i="3" s="1"/>
  <c r="X13" i="3" s="1"/>
  <c r="Y13" i="3" s="1"/>
  <c r="Z13" i="3" s="1"/>
  <c r="AA13" i="3" s="1"/>
  <c r="AB13" i="3" s="1"/>
  <c r="AC13" i="3" s="1"/>
  <c r="AD13" i="3" s="1"/>
  <c r="AE13" i="3" s="1"/>
  <c r="AF13" i="3" s="1"/>
  <c r="AG13" i="3" s="1"/>
  <c r="AH13" i="3" s="1"/>
  <c r="AI13" i="3" s="1"/>
  <c r="AJ13" i="3" s="1"/>
  <c r="C6" i="3"/>
  <c r="C18" i="3" s="1"/>
  <c r="C17" i="3"/>
  <c r="AG22" i="3" l="1"/>
  <c r="Y22" i="3"/>
  <c r="Q22" i="3"/>
  <c r="I22" i="3"/>
  <c r="R22" i="3"/>
  <c r="AF22" i="3"/>
  <c r="X22" i="3"/>
  <c r="P22" i="3"/>
  <c r="H22" i="3"/>
  <c r="AD22" i="3"/>
  <c r="N22" i="3"/>
  <c r="F22" i="3"/>
  <c r="AA22" i="3"/>
  <c r="AH22" i="3"/>
  <c r="AE22" i="3"/>
  <c r="W22" i="3"/>
  <c r="O22" i="3"/>
  <c r="G22" i="3"/>
  <c r="V22" i="3"/>
  <c r="S22" i="3"/>
  <c r="AC22" i="3"/>
  <c r="U22" i="3"/>
  <c r="M22" i="3"/>
  <c r="AB22" i="3"/>
  <c r="L22" i="3"/>
  <c r="AI22" i="3"/>
  <c r="J22" i="3"/>
  <c r="T22" i="3"/>
  <c r="K22" i="3"/>
  <c r="Z22" i="3"/>
  <c r="C19" i="3"/>
  <c r="G21" i="3" s="1"/>
  <c r="G20" i="3" l="1"/>
  <c r="H21" i="3" s="1"/>
  <c r="H20" i="3" l="1"/>
  <c r="I21" i="3" s="1"/>
  <c r="I20" i="3" l="1"/>
  <c r="J21" i="3" s="1"/>
  <c r="J20" i="3" l="1"/>
  <c r="K20" i="3" l="1"/>
  <c r="K21" i="3"/>
  <c r="L21" i="3" l="1"/>
  <c r="L20" i="3"/>
  <c r="M20" i="3" l="1"/>
  <c r="M21" i="3"/>
  <c r="N21" i="3" s="1"/>
  <c r="N20" i="3" l="1"/>
  <c r="O20" i="3" l="1"/>
  <c r="O21" i="3"/>
  <c r="P21" i="3" s="1"/>
  <c r="P20" i="3" l="1"/>
  <c r="Q20" i="3" l="1"/>
  <c r="Q21" i="3"/>
  <c r="R21" i="3" s="1"/>
  <c r="R20" i="3" l="1"/>
  <c r="S20" i="3" l="1"/>
  <c r="S21" i="3"/>
  <c r="T21" i="3" s="1"/>
  <c r="T20" i="3" l="1"/>
  <c r="U21" i="3" s="1"/>
  <c r="U20" i="3" l="1"/>
  <c r="V20" i="3" l="1"/>
  <c r="V21" i="3"/>
  <c r="W21" i="3" s="1"/>
  <c r="W20" i="3" l="1"/>
  <c r="X20" i="3" l="1"/>
  <c r="X21" i="3"/>
  <c r="Y21" i="3" s="1"/>
  <c r="Y20" i="3" l="1"/>
  <c r="Z20" i="3" l="1"/>
  <c r="Z21" i="3"/>
  <c r="AA21" i="3" s="1"/>
  <c r="AA20" i="3" l="1"/>
  <c r="AB20" i="3" l="1"/>
  <c r="AB21" i="3"/>
  <c r="AC21" i="3" s="1"/>
  <c r="AC20" i="3" l="1"/>
  <c r="AD20" i="3" l="1"/>
  <c r="AD21" i="3"/>
  <c r="AE21" i="3" s="1"/>
  <c r="AE20" i="3" l="1"/>
  <c r="AF20" i="3" l="1"/>
  <c r="AF21" i="3"/>
  <c r="AG21" i="3" s="1"/>
  <c r="AG20" i="3" l="1"/>
  <c r="AH20" i="3" l="1"/>
  <c r="AH21" i="3"/>
  <c r="AI21" i="3" s="1"/>
  <c r="AI20" i="3" l="1"/>
  <c r="AI16" i="3" s="1"/>
  <c r="AH16" i="3" s="1"/>
  <c r="AG16" i="3" s="1"/>
  <c r="AF16" i="3" s="1"/>
  <c r="AE16" i="3" s="1"/>
  <c r="AD16" i="3" s="1"/>
  <c r="AC16" i="3" s="1"/>
  <c r="AB16" i="3" s="1"/>
  <c r="AA16" i="3" s="1"/>
  <c r="Z16" i="3" s="1"/>
  <c r="Y16" i="3" s="1"/>
  <c r="X16" i="3" s="1"/>
  <c r="W16" i="3" s="1"/>
  <c r="V16" i="3" s="1"/>
  <c r="U16" i="3" s="1"/>
  <c r="T16" i="3" s="1"/>
  <c r="S16" i="3" s="1"/>
  <c r="R16" i="3" s="1"/>
  <c r="Q16" i="3" s="1"/>
  <c r="P16" i="3" s="1"/>
  <c r="O16" i="3" s="1"/>
  <c r="N16" i="3" s="1"/>
  <c r="M16" i="3" s="1"/>
  <c r="L16" i="3" s="1"/>
  <c r="K16" i="3" s="1"/>
  <c r="J16" i="3" s="1"/>
  <c r="I16" i="3" s="1"/>
  <c r="H16" i="3" s="1"/>
  <c r="G16" i="3" s="1"/>
</calcChain>
</file>

<file path=xl/sharedStrings.xml><?xml version="1.0" encoding="utf-8"?>
<sst xmlns="http://schemas.openxmlformats.org/spreadsheetml/2006/main" count="33" uniqueCount="20">
  <si>
    <t>L</t>
  </si>
  <si>
    <t>dt</t>
  </si>
  <si>
    <t>dx</t>
  </si>
  <si>
    <t>t</t>
  </si>
  <si>
    <t>Cp</t>
  </si>
  <si>
    <t>ro</t>
  </si>
  <si>
    <t>lamda</t>
  </si>
  <si>
    <t>T</t>
  </si>
  <si>
    <t>T_start</t>
  </si>
  <si>
    <t>T_end</t>
  </si>
  <si>
    <t>T_iter</t>
  </si>
  <si>
    <t>a</t>
  </si>
  <si>
    <t>A</t>
  </si>
  <si>
    <t>B</t>
  </si>
  <si>
    <t>q</t>
  </si>
  <si>
    <t>C</t>
  </si>
  <si>
    <t>F</t>
  </si>
  <si>
    <t>alpha</t>
  </si>
  <si>
    <t>beta</t>
  </si>
  <si>
    <t>t_gas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</si>
</sst>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Font="1"/>
    <xf numFmtId="0" fontId="0" fillId="0" borderId="1" xfId="0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[4]Лист1!$F$12:$AJ$12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[4]Лист1!$F$13:$AJ$13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293.28624346693624</c:v>
                </c:pt>
                <c:pt idx="2">
                  <c:v>286.57351596044163</c:v>
                </c:pt>
                <c:pt idx="3">
                  <c:v>279.86078845394701</c:v>
                </c:pt>
                <c:pt idx="4">
                  <c:v>273.15110305375981</c:v>
                </c:pt>
                <c:pt idx="5">
                  <c:v>266.44141765357256</c:v>
                </c:pt>
                <c:pt idx="6">
                  <c:v>259.73665448478408</c:v>
                </c:pt>
                <c:pt idx="7">
                  <c:v>253.03189131599561</c:v>
                </c:pt>
                <c:pt idx="8">
                  <c:v>246.33371537856041</c:v>
                </c:pt>
                <c:pt idx="9">
                  <c:v>239.63553944112522</c:v>
                </c:pt>
                <c:pt idx="10">
                  <c:v>232.9453278413726</c:v>
                </c:pt>
                <c:pt idx="11">
                  <c:v>226.25511624161999</c:v>
                </c:pt>
                <c:pt idx="12">
                  <c:v>219.57389800609968</c:v>
                </c:pt>
                <c:pt idx="13">
                  <c:v>212.89267977057938</c:v>
                </c:pt>
                <c:pt idx="14">
                  <c:v>206.22109087266466</c:v>
                </c:pt>
                <c:pt idx="15">
                  <c:v>199.54950197474994</c:v>
                </c:pt>
                <c:pt idx="16">
                  <c:v>192.88775753955161</c:v>
                </c:pt>
                <c:pt idx="17">
                  <c:v>186.22601310435331</c:v>
                </c:pt>
                <c:pt idx="18">
                  <c:v>179.57389800672252</c:v>
                </c:pt>
                <c:pt idx="19">
                  <c:v>172.92178290909169</c:v>
                </c:pt>
                <c:pt idx="20">
                  <c:v>166.2786611756236</c:v>
                </c:pt>
                <c:pt idx="21">
                  <c:v>159.6355394421555</c:v>
                </c:pt>
                <c:pt idx="22">
                  <c:v>153.00038204628092</c:v>
                </c:pt>
                <c:pt idx="23">
                  <c:v>146.36522465040633</c:v>
                </c:pt>
                <c:pt idx="24">
                  <c:v>139.73665448579186</c:v>
                </c:pt>
                <c:pt idx="25">
                  <c:v>133.10808432117742</c:v>
                </c:pt>
                <c:pt idx="26">
                  <c:v>126.48443638788059</c:v>
                </c:pt>
                <c:pt idx="27">
                  <c:v>119.86078845458377</c:v>
                </c:pt>
                <c:pt idx="28">
                  <c:v>113.24018262753927</c:v>
                </c:pt>
                <c:pt idx="29">
                  <c:v>106.61957680049478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1C-4EF7-9F2C-417735151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4925"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'[2]неявная схема'!$F$11:$AJ$11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'[2]неявная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293.30210171022196</c:v>
                </c:pt>
                <c:pt idx="2">
                  <c:v>286.60454560064346</c:v>
                </c:pt>
                <c:pt idx="3">
                  <c:v>279.90767010246611</c:v>
                </c:pt>
                <c:pt idx="4">
                  <c:v>273.2118061899705</c:v>
                </c:pt>
                <c:pt idx="5">
                  <c:v>266.51727375429272</c:v>
                </c:pt>
                <c:pt idx="6">
                  <c:v>259.82437809862995</c:v>
                </c:pt>
                <c:pt idx="7">
                  <c:v>253.13340659327483</c:v>
                </c:pt>
                <c:pt idx="8">
                  <c:v>246.44462552712645</c:v>
                </c:pt>
                <c:pt idx="9">
                  <c:v>239.75827719017309</c:v>
                </c:pt>
                <c:pt idx="10">
                  <c:v>233.07457721891299</c:v>
                </c:pt>
                <c:pt idx="11">
                  <c:v>226.3937122337953</c:v>
                </c:pt>
                <c:pt idx="12">
                  <c:v>219.71583779456739</c:v>
                </c:pt>
                <c:pt idx="13">
                  <c:v>213.04107669593009</c:v>
                </c:pt>
                <c:pt idx="14">
                  <c:v>206.36951762217291</c:v>
                </c:pt>
                <c:pt idx="15">
                  <c:v>199.70121417553071</c:v>
                </c:pt>
                <c:pt idx="16">
                  <c:v>193.03618428890636</c:v>
                </c:pt>
                <c:pt idx="17">
                  <c:v>186.37441002939414</c:v>
                </c:pt>
                <c:pt idx="18">
                  <c:v>179.71583779475634</c:v>
                </c:pt>
                <c:pt idx="19">
                  <c:v>173.06037890070087</c:v>
                </c:pt>
                <c:pt idx="20">
                  <c:v>166.40791055252478</c:v>
                </c:pt>
                <c:pt idx="21">
                  <c:v>159.75827719047888</c:v>
                </c:pt>
                <c:pt idx="22">
                  <c:v>153.11129219411285</c:v>
                </c:pt>
                <c:pt idx="23">
                  <c:v>146.466739926928</c:v>
                </c:pt>
                <c:pt idx="24">
                  <c:v>139.82437809893582</c:v>
                </c:pt>
                <c:pt idx="25">
                  <c:v>133.18394042123793</c:v>
                </c:pt>
                <c:pt idx="26">
                  <c:v>126.54513952354287</c:v>
                </c:pt>
                <c:pt idx="27">
                  <c:v>119.90767010265515</c:v>
                </c:pt>
                <c:pt idx="28">
                  <c:v>113.2712122674409</c:v>
                </c:pt>
                <c:pt idx="29">
                  <c:v>106.63543504362212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46-4958-B50A-8A946B663C60}"/>
            </c:ext>
          </c:extLst>
        </c:ser>
        <c:ser>
          <c:idx val="1"/>
          <c:order val="1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'[2]явная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'[2]явная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46-4958-B50A-8A946B663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596360"/>
        <c:axId val="290596744"/>
      </c:scatterChart>
      <c:valAx>
        <c:axId val="2905963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290596744"/>
        <c:crosses val="autoZero"/>
        <c:crossBetween val="midCat"/>
      </c:valAx>
      <c:valAx>
        <c:axId val="290596744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290596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'[3]неявная схема'!$F$11:$AJ$11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'[3]неявная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293.30210171022196</c:v>
                </c:pt>
                <c:pt idx="2">
                  <c:v>286.60454560064346</c:v>
                </c:pt>
                <c:pt idx="3">
                  <c:v>279.90767010246611</c:v>
                </c:pt>
                <c:pt idx="4">
                  <c:v>273.2118061899705</c:v>
                </c:pt>
                <c:pt idx="5">
                  <c:v>266.51727375429272</c:v>
                </c:pt>
                <c:pt idx="6">
                  <c:v>259.82437809862995</c:v>
                </c:pt>
                <c:pt idx="7">
                  <c:v>253.13340659327483</c:v>
                </c:pt>
                <c:pt idx="8">
                  <c:v>246.44462552712645</c:v>
                </c:pt>
                <c:pt idx="9">
                  <c:v>239.75827719017309</c:v>
                </c:pt>
                <c:pt idx="10">
                  <c:v>233.07457721891299</c:v>
                </c:pt>
                <c:pt idx="11">
                  <c:v>226.3937122337953</c:v>
                </c:pt>
                <c:pt idx="12">
                  <c:v>219.71583779456739</c:v>
                </c:pt>
                <c:pt idx="13">
                  <c:v>213.04107669593009</c:v>
                </c:pt>
                <c:pt idx="14">
                  <c:v>206.36951762217291</c:v>
                </c:pt>
                <c:pt idx="15">
                  <c:v>199.70121417553071</c:v>
                </c:pt>
                <c:pt idx="16">
                  <c:v>193.03618428890636</c:v>
                </c:pt>
                <c:pt idx="17">
                  <c:v>186.37441002939414</c:v>
                </c:pt>
                <c:pt idx="18">
                  <c:v>179.71583779475634</c:v>
                </c:pt>
                <c:pt idx="19">
                  <c:v>173.06037890070087</c:v>
                </c:pt>
                <c:pt idx="20">
                  <c:v>166.40791055252478</c:v>
                </c:pt>
                <c:pt idx="21">
                  <c:v>159.75827719047888</c:v>
                </c:pt>
                <c:pt idx="22">
                  <c:v>153.11129219411285</c:v>
                </c:pt>
                <c:pt idx="23">
                  <c:v>146.466739926928</c:v>
                </c:pt>
                <c:pt idx="24">
                  <c:v>139.82437809893582</c:v>
                </c:pt>
                <c:pt idx="25">
                  <c:v>133.18394042123793</c:v>
                </c:pt>
                <c:pt idx="26">
                  <c:v>126.54513952354287</c:v>
                </c:pt>
                <c:pt idx="27">
                  <c:v>119.90767010265515</c:v>
                </c:pt>
                <c:pt idx="28">
                  <c:v>113.2712122674409</c:v>
                </c:pt>
                <c:pt idx="29">
                  <c:v>106.63543504362212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13-48B6-A503-3ADBDD339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246530</xdr:colOff>
      <xdr:row>16</xdr:row>
      <xdr:rowOff>22411</xdr:rowOff>
    </xdr:from>
    <xdr:to>
      <xdr:col>16</xdr:col>
      <xdr:colOff>258786</xdr:colOff>
      <xdr:row>36</xdr:row>
      <xdr:rowOff>81943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E74958A5-B329-4D00-88E7-00267F0901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299196</xdr:colOff>
      <xdr:row>16</xdr:row>
      <xdr:rowOff>11206</xdr:rowOff>
    </xdr:from>
    <xdr:ext cx="765362" cy="45944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64BC4CB4-8E30-41D4-B68C-E94A8B31E8B2}"/>
                </a:ext>
              </a:extLst>
            </xdr:cNvPr>
            <xdr:cNvSpPr txBox="1"/>
          </xdr:nvSpPr>
          <xdr:spPr>
            <a:xfrm>
              <a:off x="3885078" y="3059206"/>
              <a:ext cx="765362" cy="4594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24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2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24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ru-RU" sz="2400" b="1"/>
            </a:p>
          </xdr:txBody>
        </xdr:sp>
      </mc:Choice>
      <mc:Fallback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64BC4CB4-8E30-41D4-B68C-E94A8B31E8B2}"/>
                </a:ext>
              </a:extLst>
            </xdr:cNvPr>
            <xdr:cNvSpPr txBox="1"/>
          </xdr:nvSpPr>
          <xdr:spPr>
            <a:xfrm>
              <a:off x="3885078" y="3059206"/>
              <a:ext cx="765362" cy="4594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2400" b="1" i="0">
                  <a:latin typeface="Cambria Math" panose="02040503050406030204" pitchFamily="18" charset="0"/>
                </a:rPr>
                <a:t>𝑻,[𝑪]</a:t>
              </a:r>
              <a:endParaRPr lang="ru-RU" sz="2400" b="1"/>
            </a:p>
          </xdr:txBody>
        </xdr:sp>
      </mc:Fallback>
    </mc:AlternateContent>
    <xdr:clientData/>
  </xdr:oneCellAnchor>
  <xdr:oneCellAnchor>
    <xdr:from>
      <xdr:col>14</xdr:col>
      <xdr:colOff>344020</xdr:colOff>
      <xdr:row>34</xdr:row>
      <xdr:rowOff>89647</xdr:rowOff>
    </xdr:from>
    <xdr:ext cx="810186" cy="383524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932D899-C8AA-4C14-9AE0-A83FBD985824}"/>
                </a:ext>
              </a:extLst>
            </xdr:cNvPr>
            <xdr:cNvSpPr txBox="1"/>
          </xdr:nvSpPr>
          <xdr:spPr>
            <a:xfrm>
              <a:off x="7515785" y="6566647"/>
              <a:ext cx="810186" cy="3835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4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24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2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24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ru-RU" sz="2400" b="1"/>
            </a:p>
          </xdr:txBody>
        </xdr:sp>
      </mc:Choice>
      <mc:Fallback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932D899-C8AA-4C14-9AE0-A83FBD985824}"/>
                </a:ext>
              </a:extLst>
            </xdr:cNvPr>
            <xdr:cNvSpPr txBox="1"/>
          </xdr:nvSpPr>
          <xdr:spPr>
            <a:xfrm>
              <a:off x="7515785" y="6566647"/>
              <a:ext cx="810186" cy="3835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400" b="1" i="0">
                  <a:latin typeface="Cambria Math" panose="02040503050406030204" pitchFamily="18" charset="0"/>
                </a:rPr>
                <a:t>𝑳,[𝒎]</a:t>
              </a:r>
              <a:endParaRPr lang="ru-RU" sz="24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179456</xdr:colOff>
      <xdr:row>25</xdr:row>
      <xdr:rowOff>179455</xdr:rowOff>
    </xdr:from>
    <xdr:to>
      <xdr:col>22</xdr:col>
      <xdr:colOff>262282</xdr:colOff>
      <xdr:row>46</xdr:row>
      <xdr:rowOff>179456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618C7B1E-863A-428B-B3EF-181D968879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303696</xdr:colOff>
      <xdr:row>25</xdr:row>
      <xdr:rowOff>179456</xdr:rowOff>
    </xdr:from>
    <xdr:to>
      <xdr:col>13</xdr:col>
      <xdr:colOff>400326</xdr:colOff>
      <xdr:row>47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90322284-4182-4B5F-96CD-8BB0D6FB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5</xdr:col>
      <xdr:colOff>357257</xdr:colOff>
      <xdr:row>26</xdr:row>
      <xdr:rowOff>13804</xdr:rowOff>
    </xdr:from>
    <xdr:ext cx="871330" cy="35891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4C8B9705-88AB-441C-AD2B-4D99916DF4B1}"/>
                </a:ext>
              </a:extLst>
            </xdr:cNvPr>
            <xdr:cNvSpPr txBox="1"/>
          </xdr:nvSpPr>
          <xdr:spPr>
            <a:xfrm>
              <a:off x="3394214" y="5038587"/>
              <a:ext cx="871330" cy="3589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24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2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24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ru-RU" sz="2400" b="1"/>
            </a:p>
          </xdr:txBody>
        </xdr:sp>
      </mc:Choice>
      <mc:Fallback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4C8B9705-88AB-441C-AD2B-4D99916DF4B1}"/>
                </a:ext>
              </a:extLst>
            </xdr:cNvPr>
            <xdr:cNvSpPr txBox="1"/>
          </xdr:nvSpPr>
          <xdr:spPr>
            <a:xfrm>
              <a:off x="3394214" y="5038587"/>
              <a:ext cx="871330" cy="3589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2400" b="1" i="0">
                  <a:latin typeface="Cambria Math" panose="02040503050406030204" pitchFamily="18" charset="0"/>
                </a:rPr>
                <a:t>𝑻,[𝑪]</a:t>
              </a:r>
              <a:endParaRPr lang="ru-RU" sz="2400" b="1"/>
            </a:p>
          </xdr:txBody>
        </xdr:sp>
      </mc:Fallback>
    </mc:AlternateContent>
    <xdr:clientData/>
  </xdr:oneCellAnchor>
  <xdr:oneCellAnchor>
    <xdr:from>
      <xdr:col>14</xdr:col>
      <xdr:colOff>108778</xdr:colOff>
      <xdr:row>25</xdr:row>
      <xdr:rowOff>157094</xdr:rowOff>
    </xdr:from>
    <xdr:ext cx="912744" cy="36747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343BF9C1-4A87-4FD2-BB60-E258A33D762E}"/>
                </a:ext>
              </a:extLst>
            </xdr:cNvPr>
            <xdr:cNvSpPr txBox="1"/>
          </xdr:nvSpPr>
          <xdr:spPr>
            <a:xfrm>
              <a:off x="8612256" y="4988616"/>
              <a:ext cx="912744" cy="3674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24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2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24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ru-RU" sz="2400" b="1"/>
            </a:p>
          </xdr:txBody>
        </xdr:sp>
      </mc:Choice>
      <mc:Fallback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343BF9C1-4A87-4FD2-BB60-E258A33D762E}"/>
                </a:ext>
              </a:extLst>
            </xdr:cNvPr>
            <xdr:cNvSpPr txBox="1"/>
          </xdr:nvSpPr>
          <xdr:spPr>
            <a:xfrm>
              <a:off x="8612256" y="4988616"/>
              <a:ext cx="912744" cy="3674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2400" b="1" i="0">
                  <a:latin typeface="Cambria Math" panose="02040503050406030204" pitchFamily="18" charset="0"/>
                </a:rPr>
                <a:t>𝑻,[𝑪]</a:t>
              </a:r>
              <a:endParaRPr lang="ru-RU" sz="2400" b="1"/>
            </a:p>
          </xdr:txBody>
        </xdr:sp>
      </mc:Fallback>
    </mc:AlternateContent>
    <xdr:clientData/>
  </xdr:oneCellAnchor>
  <xdr:oneCellAnchor>
    <xdr:from>
      <xdr:col>20</xdr:col>
      <xdr:colOff>591931</xdr:colOff>
      <xdr:row>45</xdr:row>
      <xdr:rowOff>13804</xdr:rowOff>
    </xdr:from>
    <xdr:ext cx="967962" cy="38652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69A28047-3EAF-4958-9187-0F92871F0C88}"/>
                </a:ext>
              </a:extLst>
            </xdr:cNvPr>
            <xdr:cNvSpPr txBox="1"/>
          </xdr:nvSpPr>
          <xdr:spPr>
            <a:xfrm>
              <a:off x="12739757" y="8710543"/>
              <a:ext cx="967962" cy="38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4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24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2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24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ru-RU" sz="2400" b="1"/>
            </a:p>
          </xdr:txBody>
        </xdr:sp>
      </mc:Choice>
      <mc:Fallback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69A28047-3EAF-4958-9187-0F92871F0C88}"/>
                </a:ext>
              </a:extLst>
            </xdr:cNvPr>
            <xdr:cNvSpPr txBox="1"/>
          </xdr:nvSpPr>
          <xdr:spPr>
            <a:xfrm>
              <a:off x="12739757" y="8710543"/>
              <a:ext cx="967962" cy="38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2400" b="1" i="0">
                  <a:latin typeface="Cambria Math" panose="02040503050406030204" pitchFamily="18" charset="0"/>
                </a:rPr>
                <a:t>𝑳,[𝒎]</a:t>
              </a:r>
              <a:endParaRPr lang="ru-RU" sz="2400" b="1"/>
            </a:p>
          </xdr:txBody>
        </xdr:sp>
      </mc:Fallback>
    </mc:AlternateContent>
    <xdr:clientData/>
  </xdr:oneCellAnchor>
  <xdr:oneCellAnchor>
    <xdr:from>
      <xdr:col>12</xdr:col>
      <xdr:colOff>177800</xdr:colOff>
      <xdr:row>45</xdr:row>
      <xdr:rowOff>41413</xdr:rowOff>
    </xdr:from>
    <xdr:ext cx="871330" cy="37271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BA7FE47-5C39-4660-8FC5-C2AFD4B907A9}"/>
                </a:ext>
              </a:extLst>
            </xdr:cNvPr>
            <xdr:cNvSpPr txBox="1"/>
          </xdr:nvSpPr>
          <xdr:spPr>
            <a:xfrm>
              <a:off x="7466496" y="8738152"/>
              <a:ext cx="871330" cy="3727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4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24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2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24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ru-RU" sz="2400" b="1"/>
            </a:p>
          </xdr:txBody>
        </xdr:sp>
      </mc:Choice>
      <mc:Fallback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BA7FE47-5C39-4660-8FC5-C2AFD4B907A9}"/>
                </a:ext>
              </a:extLst>
            </xdr:cNvPr>
            <xdr:cNvSpPr txBox="1"/>
          </xdr:nvSpPr>
          <xdr:spPr>
            <a:xfrm>
              <a:off x="7466496" y="8738152"/>
              <a:ext cx="871330" cy="3727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2400" b="1" i="0">
                  <a:latin typeface="Cambria Math" panose="02040503050406030204" pitchFamily="18" charset="0"/>
                </a:rPr>
                <a:t>𝑳,[𝒎]</a:t>
              </a:r>
              <a:endParaRPr lang="ru-RU" sz="2400" b="1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313_Fir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2;&#1072;&#1082;&#1072;&#1085;%20&#1048;.%20231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3_laba_MS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vs/Desktop/1%20&#1083;&#1072;&#1073;&#1072;%20&#1052;&#1057;&#105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еявная схема"/>
      <sheetName val="явная схема"/>
      <sheetName val="Лист3"/>
    </sheetNames>
    <sheetDataSet>
      <sheetData sheetId="0">
        <row r="11">
          <cell r="F11">
            <v>0</v>
          </cell>
          <cell r="G11">
            <v>3.3333333333333335E-3</v>
          </cell>
          <cell r="H11">
            <v>6.6666666666666671E-3</v>
          </cell>
          <cell r="I11">
            <v>0.01</v>
          </cell>
          <cell r="J11">
            <v>1.3333333333333334E-2</v>
          </cell>
          <cell r="K11">
            <v>1.6666666666666666E-2</v>
          </cell>
          <cell r="L11">
            <v>0.02</v>
          </cell>
          <cell r="M11">
            <v>2.3333333333333334E-2</v>
          </cell>
          <cell r="N11">
            <v>2.6666666666666668E-2</v>
          </cell>
          <cell r="O11">
            <v>3.0000000000000002E-2</v>
          </cell>
          <cell r="P11">
            <v>3.3333333333333333E-2</v>
          </cell>
          <cell r="Q11">
            <v>3.6666666666666667E-2</v>
          </cell>
          <cell r="R11">
            <v>0.04</v>
          </cell>
          <cell r="S11">
            <v>4.3333333333333335E-2</v>
          </cell>
          <cell r="T11">
            <v>4.6666666666666669E-2</v>
          </cell>
          <cell r="U11">
            <v>0.05</v>
          </cell>
          <cell r="V11">
            <v>5.3333333333333337E-2</v>
          </cell>
          <cell r="W11">
            <v>5.6666666666666671E-2</v>
          </cell>
          <cell r="X11">
            <v>6.0000000000000005E-2</v>
          </cell>
          <cell r="Y11">
            <v>6.3333333333333339E-2</v>
          </cell>
          <cell r="Z11">
            <v>6.6666666666666666E-2</v>
          </cell>
          <cell r="AA11">
            <v>6.9999999999999993E-2</v>
          </cell>
          <cell r="AB11">
            <v>7.333333333333332E-2</v>
          </cell>
          <cell r="AC11">
            <v>7.6666666666666647E-2</v>
          </cell>
          <cell r="AD11">
            <v>7.9999999999999974E-2</v>
          </cell>
          <cell r="AE11">
            <v>8.3333333333333301E-2</v>
          </cell>
          <cell r="AF11">
            <v>8.6666666666666628E-2</v>
          </cell>
          <cell r="AG11">
            <v>8.9999999999999955E-2</v>
          </cell>
          <cell r="AH11">
            <v>9.3333333333333282E-2</v>
          </cell>
          <cell r="AI11">
            <v>9.6666666666666609E-2</v>
          </cell>
          <cell r="AJ11">
            <v>9.9999999999999936E-2</v>
          </cell>
        </row>
        <row r="12">
          <cell r="F12">
            <v>300</v>
          </cell>
          <cell r="G12">
            <v>280.20114262798575</v>
          </cell>
          <cell r="H12">
            <v>260.57053452366904</v>
          </cell>
          <cell r="I12">
            <v>241.27335396752636</v>
          </cell>
          <cell r="J12">
            <v>222.46874067679317</v>
          </cell>
          <cell r="K12">
            <v>204.30702925674697</v>
          </cell>
          <cell r="L12">
            <v>186.92727013670742</v>
          </cell>
          <cell r="M12">
            <v>170.45510875086381</v>
          </cell>
          <cell r="N12">
            <v>155.00107463428773</v>
          </cell>
          <cell r="O12">
            <v>140.65931099015722</v>
          </cell>
          <cell r="P12">
            <v>127.5067536180474</v>
          </cell>
          <cell r="Q12">
            <v>115.60274732960713</v>
          </cell>
          <cell r="R12">
            <v>104.98906943559072</v>
          </cell>
          <cell r="S12">
            <v>95.690314648076594</v>
          </cell>
          <cell r="T12">
            <v>87.714584570723446</v>
          </cell>
          <cell r="U12">
            <v>81.054418255410752</v>
          </cell>
          <cell r="V12">
            <v>75.68789812172092</v>
          </cell>
          <cell r="W12">
            <v>71.579867553261167</v>
          </cell>
          <cell r="X12">
            <v>68.68320209085141</v>
          </cell>
          <cell r="Y12">
            <v>66.940084503407604</v>
          </cell>
          <cell r="Z12">
            <v>66.283244166503039</v>
          </cell>
          <cell r="AA12">
            <v>66.637132112902975</v>
          </cell>
          <cell r="AB12">
            <v>67.919013891339318</v>
          </cell>
          <cell r="AC12">
            <v>70.039972168091296</v>
          </cell>
          <cell r="AD12">
            <v>72.905819217013814</v>
          </cell>
          <cell r="AE12">
            <v>76.417925689672472</v>
          </cell>
          <cell r="AF12">
            <v>80.473976208137344</v>
          </cell>
          <cell r="AG12">
            <v>84.968664482862408</v>
          </cell>
          <cell r="AH12">
            <v>89.794341128753075</v>
          </cell>
          <cell r="AI12">
            <v>94.841626578966242</v>
          </cell>
          <cell r="AJ12">
            <v>100</v>
          </cell>
        </row>
      </sheetData>
      <sheetData sheetId="1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100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еявная схема"/>
      <sheetName val="явная схема"/>
      <sheetName val="Лист3"/>
    </sheetNames>
    <sheetDataSet>
      <sheetData sheetId="0">
        <row r="11">
          <cell r="F11">
            <v>0</v>
          </cell>
          <cell r="G11">
            <v>3.3333333333333335E-3</v>
          </cell>
          <cell r="H11">
            <v>6.6666666666666671E-3</v>
          </cell>
          <cell r="I11">
            <v>0.01</v>
          </cell>
          <cell r="J11">
            <v>1.3333333333333334E-2</v>
          </cell>
          <cell r="K11">
            <v>1.6666666666666666E-2</v>
          </cell>
          <cell r="L11">
            <v>0.02</v>
          </cell>
          <cell r="M11">
            <v>2.3333333333333334E-2</v>
          </cell>
          <cell r="N11">
            <v>2.6666666666666668E-2</v>
          </cell>
          <cell r="O11">
            <v>3.0000000000000002E-2</v>
          </cell>
          <cell r="P11">
            <v>3.3333333333333333E-2</v>
          </cell>
          <cell r="Q11">
            <v>3.6666666666666667E-2</v>
          </cell>
          <cell r="R11">
            <v>0.04</v>
          </cell>
          <cell r="S11">
            <v>4.3333333333333335E-2</v>
          </cell>
          <cell r="T11">
            <v>4.6666666666666669E-2</v>
          </cell>
          <cell r="U11">
            <v>0.05</v>
          </cell>
          <cell r="V11">
            <v>5.3333333333333337E-2</v>
          </cell>
          <cell r="W11">
            <v>5.6666666666666671E-2</v>
          </cell>
          <cell r="X11">
            <v>6.0000000000000005E-2</v>
          </cell>
          <cell r="Y11">
            <v>6.3333333333333339E-2</v>
          </cell>
          <cell r="Z11">
            <v>6.6666666666666666E-2</v>
          </cell>
          <cell r="AA11">
            <v>6.9999999999999993E-2</v>
          </cell>
          <cell r="AB11">
            <v>7.333333333333332E-2</v>
          </cell>
          <cell r="AC11">
            <v>7.6666666666666647E-2</v>
          </cell>
          <cell r="AD11">
            <v>7.9999999999999974E-2</v>
          </cell>
          <cell r="AE11">
            <v>8.3333333333333301E-2</v>
          </cell>
          <cell r="AF11">
            <v>8.6666666666666628E-2</v>
          </cell>
          <cell r="AG11">
            <v>8.9999999999999955E-2</v>
          </cell>
          <cell r="AH11">
            <v>9.3333333333333282E-2</v>
          </cell>
          <cell r="AI11">
            <v>9.6666666666666609E-2</v>
          </cell>
          <cell r="AJ11">
            <v>9.9999999999999936E-2</v>
          </cell>
        </row>
        <row r="12">
          <cell r="F12">
            <v>300</v>
          </cell>
          <cell r="G12">
            <v>293.30210171022196</v>
          </cell>
          <cell r="H12">
            <v>286.60454560064346</v>
          </cell>
          <cell r="I12">
            <v>279.90767010246611</v>
          </cell>
          <cell r="J12">
            <v>273.2118061899705</v>
          </cell>
          <cell r="K12">
            <v>266.51727375429272</v>
          </cell>
          <cell r="L12">
            <v>259.82437809862995</v>
          </cell>
          <cell r="M12">
            <v>253.13340659327483</v>
          </cell>
          <cell r="N12">
            <v>246.44462552712645</v>
          </cell>
          <cell r="O12">
            <v>239.75827719017309</v>
          </cell>
          <cell r="P12">
            <v>233.07457721891299</v>
          </cell>
          <cell r="Q12">
            <v>226.3937122337953</v>
          </cell>
          <cell r="R12">
            <v>219.71583779456739</v>
          </cell>
          <cell r="S12">
            <v>213.04107669593009</v>
          </cell>
          <cell r="T12">
            <v>206.36951762217291</v>
          </cell>
          <cell r="U12">
            <v>199.70121417553071</v>
          </cell>
          <cell r="V12">
            <v>193.03618428890636</v>
          </cell>
          <cell r="W12">
            <v>186.37441002939414</v>
          </cell>
          <cell r="X12">
            <v>179.71583779475634</v>
          </cell>
          <cell r="Y12">
            <v>173.06037890070087</v>
          </cell>
          <cell r="Z12">
            <v>166.40791055252478</v>
          </cell>
          <cell r="AA12">
            <v>159.75827719047888</v>
          </cell>
          <cell r="AB12">
            <v>153.11129219411285</v>
          </cell>
          <cell r="AC12">
            <v>146.466739926928</v>
          </cell>
          <cell r="AD12">
            <v>139.82437809893582</v>
          </cell>
          <cell r="AE12">
            <v>133.18394042123793</v>
          </cell>
          <cell r="AF12">
            <v>126.54513952354287</v>
          </cell>
          <cell r="AG12">
            <v>119.90767010265515</v>
          </cell>
          <cell r="AH12">
            <v>113.2712122674409</v>
          </cell>
          <cell r="AI12">
            <v>106.63543504362212</v>
          </cell>
          <cell r="AJ12">
            <v>100</v>
          </cell>
        </row>
      </sheetData>
      <sheetData sheetId="1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100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еявная схема"/>
      <sheetName val="явная схема"/>
      <sheetName val="Лист3"/>
    </sheetNames>
    <sheetDataSet>
      <sheetData sheetId="0">
        <row r="11">
          <cell r="F11">
            <v>0</v>
          </cell>
          <cell r="G11">
            <v>3.3333333333333335E-3</v>
          </cell>
          <cell r="H11">
            <v>6.6666666666666671E-3</v>
          </cell>
          <cell r="I11">
            <v>0.01</v>
          </cell>
          <cell r="J11">
            <v>1.3333333333333334E-2</v>
          </cell>
          <cell r="K11">
            <v>1.6666666666666666E-2</v>
          </cell>
          <cell r="L11">
            <v>0.02</v>
          </cell>
          <cell r="M11">
            <v>2.3333333333333334E-2</v>
          </cell>
          <cell r="N11">
            <v>2.6666666666666668E-2</v>
          </cell>
          <cell r="O11">
            <v>3.0000000000000002E-2</v>
          </cell>
          <cell r="P11">
            <v>3.3333333333333333E-2</v>
          </cell>
          <cell r="Q11">
            <v>3.6666666666666667E-2</v>
          </cell>
          <cell r="R11">
            <v>0.04</v>
          </cell>
          <cell r="S11">
            <v>4.3333333333333335E-2</v>
          </cell>
          <cell r="T11">
            <v>4.6666666666666669E-2</v>
          </cell>
          <cell r="U11">
            <v>0.05</v>
          </cell>
          <cell r="V11">
            <v>5.3333333333333337E-2</v>
          </cell>
          <cell r="W11">
            <v>5.6666666666666671E-2</v>
          </cell>
          <cell r="X11">
            <v>6.0000000000000005E-2</v>
          </cell>
          <cell r="Y11">
            <v>6.3333333333333339E-2</v>
          </cell>
          <cell r="Z11">
            <v>6.6666666666666666E-2</v>
          </cell>
          <cell r="AA11">
            <v>6.9999999999999993E-2</v>
          </cell>
          <cell r="AB11">
            <v>7.333333333333332E-2</v>
          </cell>
          <cell r="AC11">
            <v>7.6666666666666647E-2</v>
          </cell>
          <cell r="AD11">
            <v>7.9999999999999974E-2</v>
          </cell>
          <cell r="AE11">
            <v>8.3333333333333301E-2</v>
          </cell>
          <cell r="AF11">
            <v>8.6666666666666628E-2</v>
          </cell>
          <cell r="AG11">
            <v>8.9999999999999955E-2</v>
          </cell>
          <cell r="AH11">
            <v>9.3333333333333282E-2</v>
          </cell>
          <cell r="AI11">
            <v>9.6666666666666609E-2</v>
          </cell>
          <cell r="AJ11">
            <v>9.9999999999999936E-2</v>
          </cell>
        </row>
        <row r="12">
          <cell r="F12">
            <v>300</v>
          </cell>
          <cell r="G12">
            <v>293.30210171022196</v>
          </cell>
          <cell r="H12">
            <v>286.60454560064346</v>
          </cell>
          <cell r="I12">
            <v>279.90767010246611</v>
          </cell>
          <cell r="J12">
            <v>273.2118061899705</v>
          </cell>
          <cell r="K12">
            <v>266.51727375429272</v>
          </cell>
          <cell r="L12">
            <v>259.82437809862995</v>
          </cell>
          <cell r="M12">
            <v>253.13340659327483</v>
          </cell>
          <cell r="N12">
            <v>246.44462552712645</v>
          </cell>
          <cell r="O12">
            <v>239.75827719017309</v>
          </cell>
          <cell r="P12">
            <v>233.07457721891299</v>
          </cell>
          <cell r="Q12">
            <v>226.3937122337953</v>
          </cell>
          <cell r="R12">
            <v>219.71583779456739</v>
          </cell>
          <cell r="S12">
            <v>213.04107669593009</v>
          </cell>
          <cell r="T12">
            <v>206.36951762217291</v>
          </cell>
          <cell r="U12">
            <v>199.70121417553071</v>
          </cell>
          <cell r="V12">
            <v>193.03618428890636</v>
          </cell>
          <cell r="W12">
            <v>186.37441002939414</v>
          </cell>
          <cell r="X12">
            <v>179.71583779475634</v>
          </cell>
          <cell r="Y12">
            <v>173.06037890070087</v>
          </cell>
          <cell r="Z12">
            <v>166.40791055252478</v>
          </cell>
          <cell r="AA12">
            <v>159.75827719047888</v>
          </cell>
          <cell r="AB12">
            <v>153.11129219411285</v>
          </cell>
          <cell r="AC12">
            <v>146.466739926928</v>
          </cell>
          <cell r="AD12">
            <v>139.82437809893582</v>
          </cell>
          <cell r="AE12">
            <v>133.18394042123793</v>
          </cell>
          <cell r="AF12">
            <v>126.54513952354287</v>
          </cell>
          <cell r="AG12">
            <v>119.90767010265515</v>
          </cell>
          <cell r="AH12">
            <v>113.2712122674409</v>
          </cell>
          <cell r="AI12">
            <v>106.63543504362212</v>
          </cell>
          <cell r="AJ12">
            <v>100</v>
          </cell>
        </row>
      </sheetData>
      <sheetData sheetId="1" refreshError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293.28624346693624</v>
          </cell>
          <cell r="H13">
            <v>286.57351596044163</v>
          </cell>
          <cell r="I13">
            <v>279.86078845394701</v>
          </cell>
          <cell r="J13">
            <v>273.15110305375981</v>
          </cell>
          <cell r="K13">
            <v>266.44141765357256</v>
          </cell>
          <cell r="L13">
            <v>259.73665448478408</v>
          </cell>
          <cell r="M13">
            <v>253.03189131599561</v>
          </cell>
          <cell r="N13">
            <v>246.33371537856041</v>
          </cell>
          <cell r="O13">
            <v>239.63553944112522</v>
          </cell>
          <cell r="P13">
            <v>232.9453278413726</v>
          </cell>
          <cell r="Q13">
            <v>226.25511624161999</v>
          </cell>
          <cell r="R13">
            <v>219.57389800609968</v>
          </cell>
          <cell r="S13">
            <v>212.89267977057938</v>
          </cell>
          <cell r="T13">
            <v>206.22109087266466</v>
          </cell>
          <cell r="U13">
            <v>199.54950197474994</v>
          </cell>
          <cell r="V13">
            <v>192.88775753955161</v>
          </cell>
          <cell r="W13">
            <v>186.22601310435331</v>
          </cell>
          <cell r="X13">
            <v>179.57389800672252</v>
          </cell>
          <cell r="Y13">
            <v>172.92178290909169</v>
          </cell>
          <cell r="Z13">
            <v>166.2786611756236</v>
          </cell>
          <cell r="AA13">
            <v>159.6355394421555</v>
          </cell>
          <cell r="AB13">
            <v>153.00038204628092</v>
          </cell>
          <cell r="AC13">
            <v>146.36522465040633</v>
          </cell>
          <cell r="AD13">
            <v>139.73665448579186</v>
          </cell>
          <cell r="AE13">
            <v>133.10808432117742</v>
          </cell>
          <cell r="AF13">
            <v>126.48443638788059</v>
          </cell>
          <cell r="AG13">
            <v>119.86078845458377</v>
          </cell>
          <cell r="AH13">
            <v>113.24018262753927</v>
          </cell>
          <cell r="AI13">
            <v>106.61957680049478</v>
          </cell>
          <cell r="AJ13">
            <v>100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18"/>
  <sheetViews>
    <sheetView tabSelected="1" zoomScale="85" zoomScaleNormal="85" workbookViewId="0">
      <selection activeCell="V33" sqref="V33"/>
    </sheetView>
  </sheetViews>
  <sheetFormatPr defaultRowHeight="15" x14ac:dyDescent="0.25"/>
  <cols>
    <col min="3" max="3" width="10.7109375" bestFit="1" customWidth="1"/>
    <col min="6" max="36" width="6.7109375" style="4" customWidth="1"/>
  </cols>
  <sheetData>
    <row r="3" spans="2:36" x14ac:dyDescent="0.25">
      <c r="B3" s="2" t="s">
        <v>0</v>
      </c>
      <c r="C3" s="2">
        <v>0.1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</row>
    <row r="4" spans="2:36" x14ac:dyDescent="0.25">
      <c r="B4" s="2" t="s">
        <v>2</v>
      </c>
      <c r="C4" s="3">
        <f>C3/30</f>
        <v>3.3333333333333335E-3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</row>
    <row r="5" spans="2:36" x14ac:dyDescent="0.25">
      <c r="B5" s="2" t="s">
        <v>1</v>
      </c>
      <c r="C5" s="3">
        <f>(C9*C8*C4^2)/(2*C10)</f>
        <v>4.8594048594048603E-2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</row>
    <row r="6" spans="2:36" x14ac:dyDescent="0.25">
      <c r="B6" s="2" t="s">
        <v>3</v>
      </c>
      <c r="C6" s="2">
        <v>60</v>
      </c>
      <c r="D6">
        <v>60.013650013650022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</row>
    <row r="7" spans="2:36" x14ac:dyDescent="0.25">
      <c r="B7" s="1"/>
      <c r="C7" s="1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</row>
    <row r="8" spans="2:36" x14ac:dyDescent="0.25">
      <c r="B8" s="2" t="s">
        <v>4</v>
      </c>
      <c r="C8" s="2">
        <v>400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</row>
    <row r="9" spans="2:36" x14ac:dyDescent="0.25">
      <c r="B9" s="2" t="s">
        <v>5</v>
      </c>
      <c r="C9" s="2">
        <v>8900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</row>
    <row r="10" spans="2:36" x14ac:dyDescent="0.25">
      <c r="B10" s="2" t="s">
        <v>6</v>
      </c>
      <c r="C10" s="2">
        <v>407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</row>
    <row r="11" spans="2:36" x14ac:dyDescent="0.25">
      <c r="B11" s="1"/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2">
        <v>300</v>
      </c>
      <c r="E12" t="s">
        <v>0</v>
      </c>
      <c r="F12" s="6">
        <v>0</v>
      </c>
      <c r="G12" s="6">
        <f>F12+$C$4</f>
        <v>3.3333333333333335E-3</v>
      </c>
      <c r="H12" s="6">
        <f t="shared" ref="H12:AJ12" si="0">G12+$C$4</f>
        <v>6.6666666666666671E-3</v>
      </c>
      <c r="I12" s="6">
        <f t="shared" si="0"/>
        <v>0.01</v>
      </c>
      <c r="J12" s="6">
        <f t="shared" si="0"/>
        <v>1.3333333333333334E-2</v>
      </c>
      <c r="K12" s="6">
        <f t="shared" si="0"/>
        <v>1.6666666666666666E-2</v>
      </c>
      <c r="L12" s="6">
        <f t="shared" si="0"/>
        <v>0.02</v>
      </c>
      <c r="M12" s="6">
        <f t="shared" si="0"/>
        <v>2.3333333333333334E-2</v>
      </c>
      <c r="N12" s="6">
        <f t="shared" si="0"/>
        <v>2.6666666666666668E-2</v>
      </c>
      <c r="O12" s="6">
        <f t="shared" si="0"/>
        <v>3.0000000000000002E-2</v>
      </c>
      <c r="P12" s="6">
        <f t="shared" si="0"/>
        <v>3.3333333333333333E-2</v>
      </c>
      <c r="Q12" s="6">
        <f t="shared" si="0"/>
        <v>3.6666666666666667E-2</v>
      </c>
      <c r="R12" s="6">
        <f t="shared" si="0"/>
        <v>0.04</v>
      </c>
      <c r="S12" s="6">
        <f t="shared" si="0"/>
        <v>4.3333333333333335E-2</v>
      </c>
      <c r="T12" s="6">
        <f t="shared" si="0"/>
        <v>4.6666666666666669E-2</v>
      </c>
      <c r="U12" s="6">
        <f t="shared" si="0"/>
        <v>0.05</v>
      </c>
      <c r="V12" s="6">
        <f t="shared" si="0"/>
        <v>5.3333333333333337E-2</v>
      </c>
      <c r="W12" s="6">
        <f t="shared" si="0"/>
        <v>5.6666666666666671E-2</v>
      </c>
      <c r="X12" s="6">
        <f t="shared" si="0"/>
        <v>6.0000000000000005E-2</v>
      </c>
      <c r="Y12" s="6">
        <f t="shared" si="0"/>
        <v>6.3333333333333339E-2</v>
      </c>
      <c r="Z12" s="6">
        <f t="shared" si="0"/>
        <v>6.6666666666666666E-2</v>
      </c>
      <c r="AA12" s="6">
        <f t="shared" si="0"/>
        <v>6.9999999999999993E-2</v>
      </c>
      <c r="AB12" s="6">
        <f t="shared" si="0"/>
        <v>7.333333333333332E-2</v>
      </c>
      <c r="AC12" s="6">
        <f t="shared" si="0"/>
        <v>7.6666666666666647E-2</v>
      </c>
      <c r="AD12" s="6">
        <f t="shared" si="0"/>
        <v>7.9999999999999974E-2</v>
      </c>
      <c r="AE12" s="6">
        <f t="shared" si="0"/>
        <v>8.3333333333333301E-2</v>
      </c>
      <c r="AF12" s="6">
        <f t="shared" si="0"/>
        <v>8.6666666666666628E-2</v>
      </c>
      <c r="AG12" s="6">
        <f t="shared" si="0"/>
        <v>8.9999999999999955E-2</v>
      </c>
      <c r="AH12" s="6">
        <f t="shared" si="0"/>
        <v>9.3333333333333282E-2</v>
      </c>
      <c r="AI12" s="6">
        <f t="shared" si="0"/>
        <v>9.6666666666666609E-2</v>
      </c>
      <c r="AJ12" s="6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v>300</v>
      </c>
      <c r="G13" s="1">
        <v>293.3033207019663</v>
      </c>
      <c r="H13" s="1">
        <v>286.6066414039326</v>
      </c>
      <c r="I13" s="1">
        <v>279.91127380190864</v>
      </c>
      <c r="J13" s="1">
        <v>273.21590619988467</v>
      </c>
      <c r="K13" s="1">
        <v>266.52310466246985</v>
      </c>
      <c r="L13" s="1">
        <v>259.83030312505502</v>
      </c>
      <c r="M13" s="1">
        <v>253.14120987151131</v>
      </c>
      <c r="N13" s="1">
        <v>246.45211661796756</v>
      </c>
      <c r="O13" s="1">
        <v>239.76771179775639</v>
      </c>
      <c r="P13" s="1">
        <v>233.08330697754522</v>
      </c>
      <c r="Q13" s="1">
        <v>226.40436583309287</v>
      </c>
      <c r="R13" s="1">
        <v>219.72542468864049</v>
      </c>
      <c r="S13" s="1">
        <v>213.05248367352402</v>
      </c>
      <c r="T13" s="1">
        <v>206.37954265840756</v>
      </c>
      <c r="U13" s="1">
        <v>199.71287599175969</v>
      </c>
      <c r="V13" s="1">
        <v>193.04620932511185</v>
      </c>
      <c r="W13" s="1">
        <v>186.38581700692936</v>
      </c>
      <c r="X13" s="1">
        <v>179.72542468874684</v>
      </c>
      <c r="Y13" s="1">
        <v>173.07103249989103</v>
      </c>
      <c r="Z13" s="1">
        <v>166.41664031103522</v>
      </c>
      <c r="AA13" s="1">
        <v>159.76771179792468</v>
      </c>
      <c r="AB13" s="1">
        <v>153.11878328481413</v>
      </c>
      <c r="AC13" s="1">
        <v>146.47454320502061</v>
      </c>
      <c r="AD13" s="1">
        <v>139.83030312522709</v>
      </c>
      <c r="AE13" s="1">
        <v>133.18977132928978</v>
      </c>
      <c r="AF13" s="1">
        <v>126.54923953335248</v>
      </c>
      <c r="AG13" s="1">
        <v>119.91127380201269</v>
      </c>
      <c r="AH13" s="1">
        <v>113.2733080706729</v>
      </c>
      <c r="AI13" s="1">
        <v>106.63665403533645</v>
      </c>
      <c r="AJ13" s="1">
        <v>100</v>
      </c>
    </row>
    <row r="14" spans="2:36" x14ac:dyDescent="0.25"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</row>
    <row r="15" spans="2:36" x14ac:dyDescent="0.25">
      <c r="E15" t="s">
        <v>10</v>
      </c>
      <c r="F15"/>
      <c r="G15" s="1">
        <f>G13+(($C$10*$C$5)/($C$9*$C$8))*((H13-2*G13+F13)/($C$4^2))</f>
        <v>293.3033207019663</v>
      </c>
      <c r="H15" s="1">
        <f t="shared" ref="H15:AI15" si="1">H13+(($C$10*$C$5)/($C$9*$C$8))*((I13-2*H13+G13)/($C$4^2))</f>
        <v>286.60729725193744</v>
      </c>
      <c r="I15" s="1">
        <f t="shared" si="1"/>
        <v>279.91127380190864</v>
      </c>
      <c r="J15" s="1">
        <f t="shared" si="1"/>
        <v>273.21718923218924</v>
      </c>
      <c r="K15" s="1">
        <f t="shared" si="1"/>
        <v>266.52310466246985</v>
      </c>
      <c r="L15" s="1">
        <f t="shared" si="1"/>
        <v>259.83215726699058</v>
      </c>
      <c r="M15" s="1">
        <f t="shared" si="1"/>
        <v>253.14120987151131</v>
      </c>
      <c r="N15" s="1">
        <f t="shared" si="1"/>
        <v>246.45446083463384</v>
      </c>
      <c r="O15" s="1">
        <f t="shared" si="1"/>
        <v>239.76771179775639</v>
      </c>
      <c r="P15" s="1">
        <f t="shared" si="1"/>
        <v>233.08603881542462</v>
      </c>
      <c r="Q15" s="1">
        <f t="shared" si="1"/>
        <v>226.40436583309287</v>
      </c>
      <c r="R15" s="1">
        <f t="shared" si="1"/>
        <v>219.72842475330845</v>
      </c>
      <c r="S15" s="1">
        <f t="shared" si="1"/>
        <v>213.05248367352402</v>
      </c>
      <c r="T15" s="1">
        <f t="shared" si="1"/>
        <v>206.38267983264186</v>
      </c>
      <c r="U15" s="1">
        <f t="shared" si="1"/>
        <v>199.71287599175969</v>
      </c>
      <c r="V15" s="1">
        <f t="shared" si="1"/>
        <v>193.04934649934452</v>
      </c>
      <c r="W15" s="1">
        <f t="shared" si="1"/>
        <v>186.38581700692936</v>
      </c>
      <c r="X15" s="1">
        <f t="shared" si="1"/>
        <v>179.7284247534102</v>
      </c>
      <c r="Y15" s="1">
        <f t="shared" si="1"/>
        <v>173.07103249989103</v>
      </c>
      <c r="Z15" s="1">
        <f t="shared" si="1"/>
        <v>166.41937214890785</v>
      </c>
      <c r="AA15" s="1">
        <f t="shared" si="1"/>
        <v>159.76771179792468</v>
      </c>
      <c r="AB15" s="1">
        <f t="shared" si="1"/>
        <v>153.12112750147264</v>
      </c>
      <c r="AC15" s="1">
        <f t="shared" si="1"/>
        <v>146.47454320502061</v>
      </c>
      <c r="AD15" s="1">
        <f t="shared" si="1"/>
        <v>139.8321572671552</v>
      </c>
      <c r="AE15" s="1">
        <f t="shared" si="1"/>
        <v>133.18977132928978</v>
      </c>
      <c r="AF15" s="1">
        <f t="shared" si="1"/>
        <v>126.55052256565124</v>
      </c>
      <c r="AG15" s="1">
        <f t="shared" si="1"/>
        <v>119.91127380201269</v>
      </c>
      <c r="AH15" s="1">
        <f t="shared" si="1"/>
        <v>113.27396391867457</v>
      </c>
      <c r="AI15" s="1">
        <f t="shared" si="1"/>
        <v>106.63665403533645</v>
      </c>
      <c r="AJ15"/>
    </row>
    <row r="16" spans="2:36" x14ac:dyDescent="0.25">
      <c r="B16" s="2" t="s">
        <v>19</v>
      </c>
      <c r="C16" s="2">
        <v>392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</row>
    <row r="17" spans="2:36" x14ac:dyDescent="0.25">
      <c r="B17" s="5" t="s">
        <v>11</v>
      </c>
      <c r="C17" s="5">
        <v>1000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</row>
    <row r="18" spans="2:36" x14ac:dyDescent="0.25"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15F33-BBF0-4127-9D85-46647FB8653C}">
  <sheetPr codeName="Лист2"/>
  <dimension ref="B3:AJ22"/>
  <sheetViews>
    <sheetView zoomScale="69" zoomScaleNormal="69" workbookViewId="0">
      <selection activeCell="O7" sqref="O7"/>
    </sheetView>
  </sheetViews>
  <sheetFormatPr defaultRowHeight="15" x14ac:dyDescent="0.25"/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2</v>
      </c>
      <c r="C4" s="3">
        <f>C3/30</f>
        <v>3.3333333333333335E-3</v>
      </c>
      <c r="E4">
        <f>C5/C6</f>
        <v>1234.7191011235952</v>
      </c>
    </row>
    <row r="5" spans="2:36" x14ac:dyDescent="0.25">
      <c r="B5" s="2" t="s">
        <v>3</v>
      </c>
      <c r="C5" s="7">
        <v>60</v>
      </c>
    </row>
    <row r="6" spans="2:36" x14ac:dyDescent="0.25">
      <c r="B6" s="2" t="s">
        <v>1</v>
      </c>
      <c r="C6" s="8">
        <f>(C10*C9*C4^2)/(2*C11)</f>
        <v>4.8594048594048603E-2</v>
      </c>
      <c r="D6">
        <v>60.013650013650022</v>
      </c>
    </row>
    <row r="7" spans="2:36" x14ac:dyDescent="0.25">
      <c r="B7" s="9"/>
      <c r="C7" s="9"/>
      <c r="D7" s="10"/>
    </row>
    <row r="8" spans="2:36" x14ac:dyDescent="0.25">
      <c r="B8" s="1"/>
      <c r="C8" s="1"/>
    </row>
    <row r="9" spans="2:36" x14ac:dyDescent="0.25">
      <c r="B9" s="2" t="s">
        <v>4</v>
      </c>
      <c r="C9" s="2">
        <v>400</v>
      </c>
    </row>
    <row r="10" spans="2:36" x14ac:dyDescent="0.25">
      <c r="B10" s="2" t="s">
        <v>5</v>
      </c>
      <c r="C10" s="2">
        <v>8900</v>
      </c>
    </row>
    <row r="11" spans="2:36" x14ac:dyDescent="0.25">
      <c r="B11" s="2" t="s">
        <v>6</v>
      </c>
      <c r="C11" s="2">
        <v>407</v>
      </c>
    </row>
    <row r="12" spans="2:36" x14ac:dyDescent="0.25">
      <c r="B12" s="9"/>
      <c r="C12" s="9"/>
      <c r="E12" s="1"/>
      <c r="F12" s="2">
        <v>1</v>
      </c>
      <c r="G12" s="2">
        <v>2</v>
      </c>
      <c r="H12" s="2">
        <v>3</v>
      </c>
      <c r="I12" s="2">
        <v>4</v>
      </c>
      <c r="J12" s="2">
        <v>5</v>
      </c>
      <c r="K12" s="2">
        <v>6</v>
      </c>
      <c r="L12" s="2">
        <v>7</v>
      </c>
      <c r="M12" s="2">
        <v>8</v>
      </c>
      <c r="N12" s="2">
        <v>9</v>
      </c>
      <c r="O12" s="2">
        <v>10</v>
      </c>
      <c r="P12" s="2">
        <v>11</v>
      </c>
      <c r="Q12" s="2">
        <v>12</v>
      </c>
      <c r="R12" s="2">
        <v>13</v>
      </c>
      <c r="S12" s="2">
        <v>14</v>
      </c>
      <c r="T12" s="2">
        <v>15</v>
      </c>
      <c r="U12" s="2">
        <v>16</v>
      </c>
      <c r="V12" s="2">
        <v>17</v>
      </c>
      <c r="W12" s="2">
        <v>18</v>
      </c>
      <c r="X12" s="2">
        <v>19</v>
      </c>
      <c r="Y12" s="2">
        <v>20</v>
      </c>
      <c r="Z12" s="2">
        <v>21</v>
      </c>
      <c r="AA12" s="2">
        <v>22</v>
      </c>
      <c r="AB12" s="2">
        <v>23</v>
      </c>
      <c r="AC12" s="2">
        <v>24</v>
      </c>
      <c r="AD12" s="2">
        <v>25</v>
      </c>
      <c r="AE12" s="2">
        <v>26</v>
      </c>
      <c r="AF12" s="2">
        <v>27</v>
      </c>
      <c r="AG12" s="2">
        <v>28</v>
      </c>
      <c r="AH12" s="2">
        <v>29</v>
      </c>
      <c r="AI12" s="2">
        <v>30</v>
      </c>
      <c r="AJ12" s="2">
        <v>31</v>
      </c>
    </row>
    <row r="13" spans="2:36" x14ac:dyDescent="0.25">
      <c r="B13" s="1"/>
      <c r="C13" s="1"/>
      <c r="E13" s="1" t="s">
        <v>0</v>
      </c>
      <c r="F13" s="6">
        <v>0</v>
      </c>
      <c r="G13" s="6">
        <f>F13+$C$4</f>
        <v>3.3333333333333335E-3</v>
      </c>
      <c r="H13" s="6">
        <f>G13+$C$4</f>
        <v>6.6666666666666671E-3</v>
      </c>
      <c r="I13" s="6">
        <f>H13+$C$4</f>
        <v>0.01</v>
      </c>
      <c r="J13" s="6">
        <f>I13+$C$4</f>
        <v>1.3333333333333334E-2</v>
      </c>
      <c r="K13" s="6">
        <f>J13+$C$4</f>
        <v>1.6666666666666666E-2</v>
      </c>
      <c r="L13" s="6">
        <f>K13+$C$4</f>
        <v>0.02</v>
      </c>
      <c r="M13" s="6">
        <f>L13+$C$4</f>
        <v>2.3333333333333334E-2</v>
      </c>
      <c r="N13" s="6">
        <f>M13+$C$4</f>
        <v>2.6666666666666668E-2</v>
      </c>
      <c r="O13" s="6">
        <f>N13+$C$4</f>
        <v>3.0000000000000002E-2</v>
      </c>
      <c r="P13" s="6">
        <f>O13+$C$4</f>
        <v>3.3333333333333333E-2</v>
      </c>
      <c r="Q13" s="6">
        <f>P13+$C$4</f>
        <v>3.6666666666666667E-2</v>
      </c>
      <c r="R13" s="6">
        <f>Q13+$C$4</f>
        <v>0.04</v>
      </c>
      <c r="S13" s="6">
        <f>R13+$C$4</f>
        <v>4.3333333333333335E-2</v>
      </c>
      <c r="T13" s="6">
        <f>S13+$C$4</f>
        <v>4.6666666666666669E-2</v>
      </c>
      <c r="U13" s="6">
        <f>T13+$C$4</f>
        <v>0.05</v>
      </c>
      <c r="V13" s="6">
        <f>U13+$C$4</f>
        <v>5.3333333333333337E-2</v>
      </c>
      <c r="W13" s="6">
        <f>V13+$C$4</f>
        <v>5.6666666666666671E-2</v>
      </c>
      <c r="X13" s="6">
        <f>W13+$C$4</f>
        <v>6.0000000000000005E-2</v>
      </c>
      <c r="Y13" s="6">
        <f>X13+$C$4</f>
        <v>6.3333333333333339E-2</v>
      </c>
      <c r="Z13" s="6">
        <f>Y13+$C$4</f>
        <v>6.6666666666666666E-2</v>
      </c>
      <c r="AA13" s="6">
        <f>Z13+$C$4</f>
        <v>6.9999999999999993E-2</v>
      </c>
      <c r="AB13" s="6">
        <f>AA13+$C$4</f>
        <v>7.333333333333332E-2</v>
      </c>
      <c r="AC13" s="6">
        <f>AB13+$C$4</f>
        <v>7.6666666666666647E-2</v>
      </c>
      <c r="AD13" s="6">
        <f>AC13+$C$4</f>
        <v>7.9999999999999974E-2</v>
      </c>
      <c r="AE13" s="6">
        <f>AD13+$C$4</f>
        <v>8.3333333333333301E-2</v>
      </c>
      <c r="AF13" s="6">
        <f>AE13+$C$4</f>
        <v>8.6666666666666628E-2</v>
      </c>
      <c r="AG13" s="6">
        <f>AF13+$C$4</f>
        <v>8.9999999999999955E-2</v>
      </c>
      <c r="AH13" s="6">
        <f>AG13+$C$4</f>
        <v>9.3333333333333282E-2</v>
      </c>
      <c r="AI13" s="6">
        <f>AH13+$C$4</f>
        <v>9.6666666666666609E-2</v>
      </c>
      <c r="AJ13" s="6">
        <f>AI13+$C$4</f>
        <v>9.9999999999999936E-2</v>
      </c>
    </row>
    <row r="14" spans="2:36" x14ac:dyDescent="0.25">
      <c r="B14" s="2" t="s">
        <v>8</v>
      </c>
      <c r="C14" s="2">
        <v>300</v>
      </c>
      <c r="E14" s="1" t="s">
        <v>7</v>
      </c>
      <c r="F14" s="1">
        <v>300</v>
      </c>
      <c r="G14" s="1">
        <v>293.30210171022196</v>
      </c>
      <c r="H14" s="1">
        <v>286.60454560064346</v>
      </c>
      <c r="I14" s="1">
        <v>279.90767010246611</v>
      </c>
      <c r="J14" s="1">
        <v>273.2118061899705</v>
      </c>
      <c r="K14" s="1">
        <v>266.51727375429272</v>
      </c>
      <c r="L14" s="1">
        <v>259.82437809862995</v>
      </c>
      <c r="M14" s="1">
        <v>253.13340659327483</v>
      </c>
      <c r="N14" s="1">
        <v>246.44462552712645</v>
      </c>
      <c r="O14" s="1">
        <v>239.75827719017309</v>
      </c>
      <c r="P14" s="1">
        <v>233.07457721891299</v>
      </c>
      <c r="Q14" s="1">
        <v>226.3937122337953</v>
      </c>
      <c r="R14" s="1">
        <v>219.71583779456739</v>
      </c>
      <c r="S14" s="1">
        <v>213.04107669593009</v>
      </c>
      <c r="T14" s="1">
        <v>206.36951762217291</v>
      </c>
      <c r="U14" s="1">
        <v>199.70121417553071</v>
      </c>
      <c r="V14" s="1">
        <v>193.03618428890636</v>
      </c>
      <c r="W14" s="1">
        <v>186.37441002939414</v>
      </c>
      <c r="X14" s="1">
        <v>179.71583779475634</v>
      </c>
      <c r="Y14" s="1">
        <v>173.06037890070087</v>
      </c>
      <c r="Z14" s="1">
        <v>166.40791055252478</v>
      </c>
      <c r="AA14" s="1">
        <v>159.75827719047888</v>
      </c>
      <c r="AB14" s="1">
        <v>153.11129219411285</v>
      </c>
      <c r="AC14" s="1">
        <v>146.466739926928</v>
      </c>
      <c r="AD14" s="1">
        <v>139.82437809893582</v>
      </c>
      <c r="AE14" s="1">
        <v>133.18394042123793</v>
      </c>
      <c r="AF14" s="1">
        <v>126.54513952354287</v>
      </c>
      <c r="AG14" s="1">
        <v>119.90767010265515</v>
      </c>
      <c r="AH14" s="1">
        <v>113.2712122674409</v>
      </c>
      <c r="AI14" s="1">
        <v>106.63543504362212</v>
      </c>
      <c r="AJ14" s="1">
        <v>100</v>
      </c>
    </row>
    <row r="15" spans="2:36" x14ac:dyDescent="0.25">
      <c r="B15" s="2" t="s">
        <v>9</v>
      </c>
      <c r="C15" s="2">
        <v>100</v>
      </c>
    </row>
    <row r="16" spans="2:36" x14ac:dyDescent="0.25">
      <c r="B16" s="1"/>
      <c r="C16" s="1"/>
      <c r="E16" s="2" t="s">
        <v>10</v>
      </c>
      <c r="F16" s="2"/>
      <c r="G16" s="2">
        <f t="shared" ref="G16:AH16" si="0">G20*H16+G21</f>
        <v>293.30227186817865</v>
      </c>
      <c r="H16" s="2">
        <f t="shared" si="0"/>
        <v>286.60488405227062</v>
      </c>
      <c r="I16" s="2">
        <f t="shared" si="0"/>
        <v>279.90817313961685</v>
      </c>
      <c r="J16" s="2">
        <f t="shared" si="0"/>
        <v>273.21246830126438</v>
      </c>
      <c r="K16" s="2">
        <f t="shared" si="0"/>
        <v>266.51808768549984</v>
      </c>
      <c r="L16" s="2">
        <f t="shared" si="0"/>
        <v>259.82533493214959</v>
      </c>
      <c r="M16" s="2">
        <f t="shared" si="0"/>
        <v>253.13449584583861</v>
      </c>
      <c r="N16" s="2">
        <f t="shared" si="0"/>
        <v>246.44583526465522</v>
      </c>
      <c r="O16" s="2">
        <f t="shared" si="0"/>
        <v>239.75959415852918</v>
      </c>
      <c r="P16" s="2">
        <f t="shared" si="0"/>
        <v>233.07598698911545</v>
      </c>
      <c r="Q16" s="2">
        <f t="shared" si="0"/>
        <v>226.39519936010663</v>
      </c>
      <c r="R16" s="2">
        <f t="shared" si="0"/>
        <v>219.71738598372048</v>
      </c>
      <c r="S16" s="2">
        <f t="shared" si="0"/>
        <v>213.04266898564052</v>
      </c>
      <c r="T16" s="2">
        <f t="shared" si="0"/>
        <v>206.37113656698133</v>
      </c>
      <c r="U16" s="2">
        <f t="shared" si="0"/>
        <v>199.70284203793904</v>
      </c>
      <c r="V16" s="2">
        <f t="shared" si="0"/>
        <v>193.03780323371339</v>
      </c>
      <c r="W16" s="2">
        <f t="shared" si="0"/>
        <v>186.37600231910176</v>
      </c>
      <c r="X16" s="2">
        <f t="shared" si="0"/>
        <v>179.71738598390539</v>
      </c>
      <c r="Y16" s="2">
        <f t="shared" si="0"/>
        <v>173.06186602700711</v>
      </c>
      <c r="Z16" s="2">
        <f t="shared" si="0"/>
        <v>166.40932032272127</v>
      </c>
      <c r="AA16" s="2">
        <f t="shared" si="0"/>
        <v>159.75959415882843</v>
      </c>
      <c r="AB16" s="2">
        <f t="shared" si="0"/>
        <v>153.11250193163477</v>
      </c>
      <c r="AC16" s="2">
        <f t="shared" si="0"/>
        <v>146.46782917948491</v>
      </c>
      <c r="AD16" s="2">
        <f t="shared" si="0"/>
        <v>139.82533493244892</v>
      </c>
      <c r="AE16" s="2">
        <f t="shared" si="0"/>
        <v>133.18475435243911</v>
      </c>
      <c r="AF16" s="2">
        <f t="shared" si="0"/>
        <v>126.54580163483166</v>
      </c>
      <c r="AG16" s="2">
        <f t="shared" si="0"/>
        <v>119.90817313980179</v>
      </c>
      <c r="AH16" s="2">
        <f t="shared" si="0"/>
        <v>113.27155071906525</v>
      </c>
      <c r="AI16" s="2">
        <f>AI20*AJ16+AI21</f>
        <v>106.63560520157736</v>
      </c>
      <c r="AJ16" s="2">
        <f>AJ14</f>
        <v>100</v>
      </c>
    </row>
    <row r="17" spans="2:36" x14ac:dyDescent="0.25">
      <c r="B17" s="2" t="s">
        <v>12</v>
      </c>
      <c r="C17" s="2">
        <f>C11/(C4^2)</f>
        <v>36629999.999999993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2:36" x14ac:dyDescent="0.25">
      <c r="B18" s="2" t="s">
        <v>13</v>
      </c>
      <c r="C18" s="2">
        <f>(2*C11)/(C4^2)+(C10*C9)/C6</f>
        <v>146519999.99999997</v>
      </c>
      <c r="E18" s="1" t="s">
        <v>14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2:36" x14ac:dyDescent="0.25">
      <c r="B19" s="2" t="s">
        <v>15</v>
      </c>
      <c r="C19" s="2">
        <f>C17</f>
        <v>36629999.999999993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2:36" x14ac:dyDescent="0.25">
      <c r="E20" s="2" t="s">
        <v>17</v>
      </c>
      <c r="F20" s="2">
        <v>0</v>
      </c>
      <c r="G20" s="2">
        <f>$C$17/($C$18-$C$19*F20)</f>
        <v>0.25</v>
      </c>
      <c r="H20" s="2">
        <f>$C$17/($C$18-$C$19*G20)</f>
        <v>0.26666666666666666</v>
      </c>
      <c r="I20" s="2">
        <f>$C$17/($C$18-$C$19*H20)</f>
        <v>0.26785714285714285</v>
      </c>
      <c r="J20" s="2">
        <f>$C$17/($C$18-$C$19*I20)</f>
        <v>0.26794258373205743</v>
      </c>
      <c r="K20" s="2">
        <f>$C$17/($C$18-$C$19*J20)</f>
        <v>0.26794871794871794</v>
      </c>
      <c r="L20" s="2">
        <f>$C$17/($C$18-$C$19*K20)</f>
        <v>0.26794915836482308</v>
      </c>
      <c r="M20" s="2">
        <f>$C$17/($C$18-$C$19*L20)</f>
        <v>0.26794918998527245</v>
      </c>
      <c r="N20" s="2">
        <f>$C$17/($C$18-$C$19*M20)</f>
        <v>0.26794919225551861</v>
      </c>
      <c r="O20" s="2">
        <f>$C$17/($C$18-$C$19*N20)</f>
        <v>0.26794919241851489</v>
      </c>
      <c r="P20" s="2">
        <f>$C$17/($C$18-$C$19*O20)</f>
        <v>0.26794919243021753</v>
      </c>
      <c r="Q20" s="2">
        <f>$C$17/($C$18-$C$19*P20)</f>
        <v>0.26794919243105775</v>
      </c>
      <c r="R20" s="2">
        <f>$C$17/($C$18-$C$19*Q20)</f>
        <v>0.26794919243111803</v>
      </c>
      <c r="S20" s="2">
        <f>$C$17/($C$18-$C$19*R20)</f>
        <v>0.26794919243112242</v>
      </c>
      <c r="T20" s="2">
        <f>$C$17/($C$18-$C$19*S20)</f>
        <v>0.2679491924311227</v>
      </c>
      <c r="U20" s="2">
        <f>$C$17/($C$18-$C$19*T20)</f>
        <v>0.2679491924311227</v>
      </c>
      <c r="V20" s="2">
        <f>$C$17/($C$18-$C$19*U20)</f>
        <v>0.2679491924311227</v>
      </c>
      <c r="W20" s="2">
        <f>$C$17/($C$18-$C$19*V20)</f>
        <v>0.2679491924311227</v>
      </c>
      <c r="X20" s="2">
        <f>$C$17/($C$18-$C$19*W20)</f>
        <v>0.2679491924311227</v>
      </c>
      <c r="Y20" s="2">
        <f>$C$17/($C$18-$C$19*X20)</f>
        <v>0.2679491924311227</v>
      </c>
      <c r="Z20" s="2">
        <f>$C$17/($C$18-$C$19*Y20)</f>
        <v>0.2679491924311227</v>
      </c>
      <c r="AA20" s="2">
        <f>$C$17/($C$18-$C$19*Z20)</f>
        <v>0.2679491924311227</v>
      </c>
      <c r="AB20" s="2">
        <f>$C$17/($C$18-$C$19*AA20)</f>
        <v>0.2679491924311227</v>
      </c>
      <c r="AC20" s="2">
        <f>$C$17/($C$18-$C$19*AB20)</f>
        <v>0.2679491924311227</v>
      </c>
      <c r="AD20" s="2">
        <f>$C$17/($C$18-$C$19*AC20)</f>
        <v>0.2679491924311227</v>
      </c>
      <c r="AE20" s="2">
        <f>$C$17/($C$18-$C$19*AD20)</f>
        <v>0.2679491924311227</v>
      </c>
      <c r="AF20" s="2">
        <f>$C$17/($C$18-$C$19*AE20)</f>
        <v>0.2679491924311227</v>
      </c>
      <c r="AG20" s="2">
        <f>$C$17/($C$18-$C$19*AF20)</f>
        <v>0.2679491924311227</v>
      </c>
      <c r="AH20" s="2">
        <f>$C$17/($C$18-$C$19*AG20)</f>
        <v>0.2679491924311227</v>
      </c>
      <c r="AI20" s="2">
        <f>$C$17/($C$18-$C$19*AH20)</f>
        <v>0.2679491924311227</v>
      </c>
      <c r="AJ20" s="1"/>
    </row>
    <row r="21" spans="2:36" x14ac:dyDescent="0.25">
      <c r="E21" s="2" t="s">
        <v>18</v>
      </c>
      <c r="F21" s="2">
        <f>F14</f>
        <v>300</v>
      </c>
      <c r="G21" s="2">
        <f>(F21*$C$19-G22)/($C$18-$C$19*F20)</f>
        <v>221.65105085511098</v>
      </c>
      <c r="H21" s="2">
        <f>(G21*$C$19-H22)/($C$18-$C$19*G20)</f>
        <v>211.96270454837278</v>
      </c>
      <c r="I21" s="2">
        <f>(H21*$C$19-I22)/($C$18-$C$19*H20)</f>
        <v>206.72626198749245</v>
      </c>
      <c r="J21" s="2">
        <f>(I21*$C$19-J22)/($C$18-$C$19*I20)</f>
        <v>201.80092327548454</v>
      </c>
      <c r="K21" s="2">
        <f>(J21*$C$19-K22)/($C$18-$C$19*J20)</f>
        <v>196.89822229983415</v>
      </c>
      <c r="L21" s="2">
        <f>(K21*$C$19-L22)/($C$18-$C$19*K20)</f>
        <v>191.99815981715332</v>
      </c>
      <c r="M21" s="2">
        <f>(L21*$C$19-M22)/($C$18-$C$19*L20)</f>
        <v>187.09953391143037</v>
      </c>
      <c r="N21" s="2">
        <f>(M21*$C$19-N22)/($C$18-$C$19*M20)</f>
        <v>182.20244567436634</v>
      </c>
      <c r="O21" s="2">
        <f>(N21*$C$19-O22)/($C$18-$C$19*N20)</f>
        <v>177.3070716726474</v>
      </c>
      <c r="P21" s="2">
        <f>(O21*$C$19-P22)/($C$18-$C$19*O20)</f>
        <v>172.41357615049679</v>
      </c>
      <c r="Q21" s="2">
        <f>(P21*$C$19-Q22)/($C$18-$C$19*P20)</f>
        <v>167.52210322270574</v>
      </c>
      <c r="R21" s="2">
        <f>(Q21*$C$19-R22)/($C$18-$C$19*Q20)</f>
        <v>162.6327748756481</v>
      </c>
      <c r="S21" s="2">
        <f>(R21*$C$19-S22)/($C$18-$C$19*R20)</f>
        <v>157.745689601425</v>
      </c>
      <c r="T21" s="2">
        <f>(S21*$C$19-T22)/($C$18-$C$19*S20)</f>
        <v>152.86092131671552</v>
      </c>
      <c r="U21" s="2">
        <f>(T21*$C$19-U22)/($C$18-$C$19*T20)</f>
        <v>147.97851855278756</v>
      </c>
      <c r="V21" s="2">
        <f>(U21*$C$19-V22)/($C$18-$C$19*U20)</f>
        <v>143.09850392376902</v>
      </c>
      <c r="W21" s="2">
        <f>(V21*$C$19-W22)/($C$18-$C$19*V20)</f>
        <v>138.22087387888195</v>
      </c>
      <c r="X21" s="2">
        <f>(W21*$C$19-X22)/($C$18-$C$19*W20)</f>
        <v>133.34559874134567</v>
      </c>
      <c r="Y21" s="2">
        <f>(X21*$C$19-Y22)/($C$18-$C$19*X20)</f>
        <v>128.47262303352193</v>
      </c>
      <c r="Z21" s="2">
        <f>(Y21*$C$19-Z22)/($C$18-$C$19*Y20)</f>
        <v>123.60186608473929</v>
      </c>
      <c r="AA21" s="2">
        <f>(Z21*$C$19-AA22)/($C$18-$C$19*Z20)</f>
        <v>118.73322291513819</v>
      </c>
      <c r="AB21" s="2">
        <f>(AA21*$C$19-AB22)/($C$18-$C$19*AA20)</f>
        <v>113.86656538585216</v>
      </c>
      <c r="AC21" s="2">
        <f>(AB21*$C$19-AC22)/($C$18-$C$19*AB20)</f>
        <v>109.00174360292398</v>
      </c>
      <c r="AD21" s="2">
        <f>(AC21*$C$19-AD22)/($C$18-$C$19*AC20)</f>
        <v>104.1385875595754</v>
      </c>
      <c r="AE21" s="2">
        <f>(AD21*$C$19-AE22)/($C$18-$C$19*AD20)</f>
        <v>99.276908998836916</v>
      </c>
      <c r="AF21" s="2">
        <f>(AE21*$C$19-AF22)/($C$18-$C$19*AE20)</f>
        <v>94.416503476130529</v>
      </c>
      <c r="AG21" s="2">
        <f>(AF21*$C$19-AG22)/($C$18-$C$19*AF20)</f>
        <v>89.557152599207299</v>
      </c>
      <c r="AH21" s="2">
        <f>(AG21*$C$19-AH22)/($C$18-$C$19*AG20)</f>
        <v>84.698626420898563</v>
      </c>
      <c r="AI21" s="2">
        <f>(AH21*$C$19-AI22)/($C$18-$C$19*AH20)</f>
        <v>79.840685958465102</v>
      </c>
      <c r="AJ21" s="1"/>
    </row>
    <row r="22" spans="2:36" x14ac:dyDescent="0.25">
      <c r="E22" s="2" t="s">
        <v>16</v>
      </c>
      <c r="F22" s="2">
        <f>-(($C$10*$C$9)/$C$6)*F14</f>
        <v>-21977999999.999996</v>
      </c>
      <c r="G22" s="2">
        <f>-(($C$10*$C$9)/$C$6)*G14</f>
        <v>-21487311971.290855</v>
      </c>
      <c r="H22" s="2">
        <f>-(($C$10*$C$9)/$C$6)*H14</f>
        <v>-20996649010.703136</v>
      </c>
      <c r="I22" s="2">
        <f>-(($C$10*$C$9)/$C$6)*I14</f>
        <v>-20506035911.706665</v>
      </c>
      <c r="J22" s="2">
        <f>-(($C$10*$C$9)/$C$6)*J14</f>
        <v>-20015496921.477234</v>
      </c>
      <c r="K22" s="2">
        <f>-(($C$10*$C$9)/$C$6)*K14</f>
        <v>-19525055475.239479</v>
      </c>
      <c r="L22" s="2">
        <f>-(($C$10*$C$9)/$C$6)*L14</f>
        <v>-19034733939.505627</v>
      </c>
      <c r="M22" s="2">
        <f>-(($C$10*$C$9)/$C$6)*M14</f>
        <v>-18544553367.023312</v>
      </c>
      <c r="N22" s="2">
        <f>-(($C$10*$C$9)/$C$6)*N14</f>
        <v>-18054533266.117279</v>
      </c>
      <c r="O22" s="2">
        <f>-(($C$10*$C$9)/$C$6)*O14</f>
        <v>-17564691386.952076</v>
      </c>
      <c r="P22" s="2">
        <f>-(($C$10*$C$9)/$C$6)*P14</f>
        <v>-17075043527.057562</v>
      </c>
      <c r="Q22" s="2">
        <f>-(($C$10*$C$9)/$C$6)*Q14</f>
        <v>-16585603358.247841</v>
      </c>
      <c r="R22" s="2">
        <f>-(($C$10*$C$9)/$C$6)*R14</f>
        <v>-16096382276.830004</v>
      </c>
      <c r="S22" s="2">
        <f>-(($C$10*$C$9)/$C$6)*S14</f>
        <v>-15607389278.743835</v>
      </c>
      <c r="T22" s="2">
        <f>-(($C$10*$C$9)/$C$6)*T14</f>
        <v>-15118630861.000383</v>
      </c>
      <c r="U22" s="2">
        <f>-(($C$10*$C$9)/$C$6)*U14</f>
        <v>-14630110950.499376</v>
      </c>
      <c r="V22" s="2">
        <f>-(($C$10*$C$9)/$C$6)*V14</f>
        <v>-14141830861.005278</v>
      </c>
      <c r="W22" s="2">
        <f>-(($C$10*$C$9)/$C$6)*W14</f>
        <v>-13653789278.753412</v>
      </c>
      <c r="X22" s="2">
        <f>-(($C$10*$C$9)/$C$6)*X14</f>
        <v>-13165982276.843847</v>
      </c>
      <c r="Y22" s="2">
        <f>-(($C$10*$C$9)/$C$6)*Y14</f>
        <v>-12678403358.265343</v>
      </c>
      <c r="Z22" s="2">
        <f>-(($C$10*$C$9)/$C$6)*Z14</f>
        <v>-12191043527.077963</v>
      </c>
      <c r="AA22" s="2">
        <f>-(($C$10*$C$9)/$C$6)*AA14</f>
        <v>-11703891386.97448</v>
      </c>
      <c r="AB22" s="2">
        <f>-(($C$10*$C$9)/$C$6)*AB14</f>
        <v>-11216933266.140705</v>
      </c>
      <c r="AC22" s="2">
        <f>-(($C$10*$C$9)/$C$6)*AC14</f>
        <v>-10730153367.046743</v>
      </c>
      <c r="AD22" s="2">
        <f>-(($C$10*$C$9)/$C$6)*AD14</f>
        <v>-10243533939.528036</v>
      </c>
      <c r="AE22" s="2">
        <f>-(($C$10*$C$9)/$C$6)*AE14</f>
        <v>-9757055475.2598896</v>
      </c>
      <c r="AF22" s="2">
        <f>-(($C$10*$C$9)/$C$6)*AF14</f>
        <v>-9270696921.4947491</v>
      </c>
      <c r="AG22" s="2">
        <f>-(($C$10*$C$9)/$C$6)*AG14</f>
        <v>-8784435911.7205143</v>
      </c>
      <c r="AH22" s="2">
        <f>-(($C$10*$C$9)/$C$6)*AH14</f>
        <v>-8298249010.712719</v>
      </c>
      <c r="AI22" s="2">
        <f>-(($C$10*$C$9)/$C$6)*AI14</f>
        <v>-7812111971.2957554</v>
      </c>
      <c r="AJ22" s="1"/>
    </row>
  </sheetData>
  <conditionalFormatting sqref="F14:AJ14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2021-11-01T15:29:01Z</dcterms:modified>
</cp:coreProperties>
</file>