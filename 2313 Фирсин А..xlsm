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5" windowWidth="14805" windowHeight="8010"/>
  </bookViews>
  <sheets>
    <sheet name="Лист1" sheetId="1" r:id="rId1"/>
  </sheets>
  <calcPr calcId="152511"/>
</workbook>
</file>

<file path=xl/calcChain.xml><?xml version="1.0" encoding="utf-8"?>
<calcChain xmlns="http://schemas.openxmlformats.org/spreadsheetml/2006/main">
  <c r="AJ13" i="1" l="1"/>
  <c r="F13" i="1"/>
  <c r="C4" i="1"/>
  <c r="C5" i="1" s="1"/>
  <c r="AD15" i="1" l="1"/>
  <c r="AG15" i="1"/>
  <c r="AC15" i="1"/>
  <c r="Y15" i="1"/>
  <c r="U15" i="1"/>
  <c r="Q15" i="1"/>
  <c r="M15" i="1"/>
  <c r="I15" i="1"/>
  <c r="V15" i="1"/>
  <c r="N15" i="1"/>
  <c r="AF15" i="1"/>
  <c r="AB15" i="1"/>
  <c r="X15" i="1"/>
  <c r="T15" i="1"/>
  <c r="P15" i="1"/>
  <c r="L15" i="1"/>
  <c r="H15" i="1"/>
  <c r="AI15" i="1"/>
  <c r="AE15" i="1"/>
  <c r="AA15" i="1"/>
  <c r="W15" i="1"/>
  <c r="S15" i="1"/>
  <c r="O15" i="1"/>
  <c r="K15" i="1"/>
  <c r="G15" i="1"/>
  <c r="AH15" i="1"/>
  <c r="Z15" i="1"/>
  <c r="R15" i="1"/>
  <c r="J15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<sst xmlns="http://schemas.openxmlformats.org/spreadsheetml/2006/main" count="12" uniqueCount="11">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</sst>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164" fontId="0" fillId="0" borderId="2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293.32310708172031</c:v>
                </c:pt>
                <c:pt idx="2">
                  <c:v>286.64621416344067</c:v>
                </c:pt>
                <c:pt idx="3">
                  <c:v>279.96976818142753</c:v>
                </c:pt>
                <c:pt idx="4">
                  <c:v>273.29332219941438</c:v>
                </c:pt>
                <c:pt idx="5">
                  <c:v>266.61775055667476</c:v>
                </c:pt>
                <c:pt idx="6">
                  <c:v>259.94217891393515</c:v>
                </c:pt>
                <c:pt idx="7">
                  <c:v>253.26787080065432</c:v>
                </c:pt>
                <c:pt idx="8">
                  <c:v>246.59356268737349</c:v>
                </c:pt>
                <c:pt idx="9">
                  <c:v>239.9208520714362</c:v>
                </c:pt>
                <c:pt idx="10">
                  <c:v>233.24814145549891</c:v>
                </c:pt>
                <c:pt idx="11">
                  <c:v>226.57729248649036</c:v>
                </c:pt>
                <c:pt idx="12">
                  <c:v>219.90644351748179</c:v>
                </c:pt>
                <c:pt idx="13">
                  <c:v>213.23763898208321</c:v>
                </c:pt>
                <c:pt idx="14">
                  <c:v>206.56883444668463</c:v>
                </c:pt>
                <c:pt idx="15">
                  <c:v>199.9021677800182</c:v>
                </c:pt>
                <c:pt idx="16">
                  <c:v>193.2355011133518</c:v>
                </c:pt>
                <c:pt idx="17">
                  <c:v>186.57097231541749</c:v>
                </c:pt>
                <c:pt idx="18">
                  <c:v>179.90644351748318</c:v>
                </c:pt>
                <c:pt idx="19">
                  <c:v>173.24395915315873</c:v>
                </c:pt>
                <c:pt idx="20">
                  <c:v>166.58147478883427</c:v>
                </c:pt>
                <c:pt idx="21">
                  <c:v>159.92085207143839</c:v>
                </c:pt>
                <c:pt idx="22">
                  <c:v>153.26022935404251</c:v>
                </c:pt>
                <c:pt idx="23">
                  <c:v>146.60120413398997</c:v>
                </c:pt>
                <c:pt idx="24">
                  <c:v>139.94217891393743</c:v>
                </c:pt>
                <c:pt idx="25">
                  <c:v>133.28441722334344</c:v>
                </c:pt>
                <c:pt idx="26">
                  <c:v>126.62665553274945</c:v>
                </c:pt>
                <c:pt idx="27">
                  <c:v>119.96976818142888</c:v>
                </c:pt>
                <c:pt idx="28">
                  <c:v>113.3128808301083</c:v>
                </c:pt>
                <c:pt idx="29">
                  <c:v>106.65644041505415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621152"/>
        <c:axId val="322621696"/>
      </c:scatterChart>
      <c:valAx>
        <c:axId val="32262115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2621696"/>
        <c:crosses val="autoZero"/>
        <c:crossBetween val="midCat"/>
      </c:valAx>
      <c:valAx>
        <c:axId val="32262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2621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59530</xdr:colOff>
      <xdr:row>17</xdr:row>
      <xdr:rowOff>146446</xdr:rowOff>
    </xdr:from>
    <xdr:to>
      <xdr:col>14</xdr:col>
      <xdr:colOff>309563</xdr:colOff>
      <xdr:row>41</xdr:row>
      <xdr:rowOff>107156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120251</xdr:colOff>
      <xdr:row>18</xdr:row>
      <xdr:rowOff>36910</xdr:rowOff>
    </xdr:from>
    <xdr:ext cx="439342" cy="250453"/>
    <xdr:sp macro="" textlink="">
      <xdr:nvSpPr>
        <xdr:cNvPr id="3" name="TextBox 2"/>
        <xdr:cNvSpPr txBox="1"/>
      </xdr:nvSpPr>
      <xdr:spPr>
        <a:xfrm>
          <a:off x="3156345" y="3465910"/>
          <a:ext cx="439342" cy="25045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r>
            <a:rPr lang="en-US" sz="1600" b="1" i="1"/>
            <a:t>T,[C]</a:t>
          </a:r>
          <a:endParaRPr lang="ru-RU" sz="1600" b="1" i="1"/>
        </a:p>
      </xdr:txBody>
    </xdr:sp>
    <xdr:clientData/>
  </xdr:oneCellAnchor>
  <xdr:oneCellAnchor>
    <xdr:from>
      <xdr:col>12</xdr:col>
      <xdr:colOff>406003</xdr:colOff>
      <xdr:row>39</xdr:row>
      <xdr:rowOff>166688</xdr:rowOff>
    </xdr:from>
    <xdr:ext cx="939404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6609159" y="7596188"/>
              <a:ext cx="939404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𝒎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6609159" y="7596188"/>
              <a:ext cx="939404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600" b="1" i="0">
                  <a:latin typeface="Cambria Math" panose="02040503050406030204" pitchFamily="18" charset="0"/>
                </a:rPr>
                <a:t>𝑳,[𝒎</a:t>
              </a:r>
              <a:r>
                <a:rPr lang="en-US" sz="1600" b="0" i="0">
                  <a:latin typeface="Cambria Math" panose="02040503050406030204" pitchFamily="18" charset="0"/>
                </a:rPr>
                <a:t>]</a:t>
              </a:r>
              <a:endParaRPr lang="ru-RU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3:AJ15"/>
  <sheetViews>
    <sheetView tabSelected="1" zoomScale="80" zoomScaleNormal="80" workbookViewId="0">
      <selection activeCell="AA24" sqref="AA24"/>
    </sheetView>
  </sheetViews>
  <sheetFormatPr defaultRowHeight="15" x14ac:dyDescent="0.25"/>
  <cols>
    <col min="6" max="36" width="6.7109375" customWidth="1"/>
  </cols>
  <sheetData>
    <row r="3" spans="1:36" x14ac:dyDescent="0.25">
      <c r="B3" s="2" t="s">
        <v>0</v>
      </c>
      <c r="C3" s="2">
        <v>0.1</v>
      </c>
    </row>
    <row r="4" spans="1:36" x14ac:dyDescent="0.25">
      <c r="B4" s="2" t="s">
        <v>1</v>
      </c>
      <c r="C4" s="4">
        <f>C3/30</f>
        <v>3.3333333333333335E-3</v>
      </c>
    </row>
    <row r="5" spans="1:36" x14ac:dyDescent="0.25">
      <c r="B5" s="5" t="s">
        <v>2</v>
      </c>
      <c r="C5" s="8">
        <f>(C9*C8*C4^2)/(2*C10)</f>
        <v>0.4333333333333334</v>
      </c>
    </row>
    <row r="6" spans="1:36" x14ac:dyDescent="0.25">
      <c r="B6" s="2" t="s">
        <v>3</v>
      </c>
      <c r="C6" s="2">
        <v>500</v>
      </c>
      <c r="D6">
        <v>500.06666666666672</v>
      </c>
    </row>
    <row r="7" spans="1:36" x14ac:dyDescent="0.25">
      <c r="A7" s="6"/>
      <c r="B7" s="7"/>
      <c r="C7" s="7"/>
      <c r="D7" s="6"/>
    </row>
    <row r="8" spans="1:36" x14ac:dyDescent="0.25">
      <c r="B8" s="2" t="s">
        <v>4</v>
      </c>
      <c r="C8" s="2">
        <v>460</v>
      </c>
    </row>
    <row r="9" spans="1:36" x14ac:dyDescent="0.25">
      <c r="B9" s="2" t="s">
        <v>5</v>
      </c>
      <c r="C9" s="2">
        <v>7800</v>
      </c>
    </row>
    <row r="10" spans="1:36" x14ac:dyDescent="0.25">
      <c r="B10" s="2" t="s">
        <v>6</v>
      </c>
      <c r="C10" s="2">
        <v>46</v>
      </c>
    </row>
    <row r="11" spans="1:36" x14ac:dyDescent="0.25">
      <c r="A11" s="6"/>
      <c r="B11" s="7"/>
      <c r="C11" s="7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1:36" x14ac:dyDescent="0.25">
      <c r="B12" s="2" t="s">
        <v>8</v>
      </c>
      <c r="C12" s="2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1:36" x14ac:dyDescent="0.25">
      <c r="B13" s="2" t="s">
        <v>9</v>
      </c>
      <c r="C13" s="2">
        <v>100</v>
      </c>
      <c r="E13" t="s">
        <v>7</v>
      </c>
      <c r="F13" s="1">
        <f>C12</f>
        <v>300</v>
      </c>
      <c r="G13" s="1">
        <v>293.32310708172031</v>
      </c>
      <c r="H13" s="1">
        <v>286.64621416344067</v>
      </c>
      <c r="I13" s="1">
        <v>279.96976818142753</v>
      </c>
      <c r="J13" s="1">
        <v>273.29332219941438</v>
      </c>
      <c r="K13" s="1">
        <v>266.61775055667476</v>
      </c>
      <c r="L13" s="1">
        <v>259.94217891393515</v>
      </c>
      <c r="M13" s="1">
        <v>253.26787080065432</v>
      </c>
      <c r="N13" s="1">
        <v>246.59356268737349</v>
      </c>
      <c r="O13" s="1">
        <v>239.9208520714362</v>
      </c>
      <c r="P13" s="1">
        <v>233.24814145549891</v>
      </c>
      <c r="Q13" s="1">
        <v>226.57729248649036</v>
      </c>
      <c r="R13" s="1">
        <v>219.90644351748179</v>
      </c>
      <c r="S13" s="1">
        <v>213.23763898208321</v>
      </c>
      <c r="T13" s="1">
        <v>206.56883444668463</v>
      </c>
      <c r="U13" s="1">
        <v>199.9021677800182</v>
      </c>
      <c r="V13" s="1">
        <v>193.2355011133518</v>
      </c>
      <c r="W13" s="1">
        <v>186.57097231541749</v>
      </c>
      <c r="X13" s="1">
        <v>179.90644351748318</v>
      </c>
      <c r="Y13" s="1">
        <v>173.24395915315873</v>
      </c>
      <c r="Z13" s="1">
        <v>166.58147478883427</v>
      </c>
      <c r="AA13" s="1">
        <v>159.92085207143839</v>
      </c>
      <c r="AB13" s="1">
        <v>153.26022935404251</v>
      </c>
      <c r="AC13" s="1">
        <v>146.60120413398997</v>
      </c>
      <c r="AD13" s="1">
        <v>139.94217891393743</v>
      </c>
      <c r="AE13" s="1">
        <v>133.28441722334344</v>
      </c>
      <c r="AF13" s="1">
        <v>126.62665553274945</v>
      </c>
      <c r="AG13" s="1">
        <v>119.96976818142888</v>
      </c>
      <c r="AH13" s="1">
        <v>113.3128808301083</v>
      </c>
      <c r="AI13" s="1">
        <v>106.65644041505415</v>
      </c>
      <c r="AJ13" s="1">
        <f>C13</f>
        <v>100</v>
      </c>
    </row>
    <row r="15" spans="1:36" x14ac:dyDescent="0.25">
      <c r="E15" t="s">
        <v>10</v>
      </c>
      <c r="G15" s="1">
        <f>G13+(($C$10*$C$5)/($C$9*$C$8))*((H13-2*G13+F13)/($C$4^2))</f>
        <v>293.32310708172031</v>
      </c>
      <c r="H15" s="1">
        <f t="shared" ref="H15:AI15" si="1">H13+(($C$10*$C$5)/($C$9*$C$8))*((I13-2*H13+G13)/($C$4^2))</f>
        <v>286.64643763157392</v>
      </c>
      <c r="I15" s="1">
        <f t="shared" si="1"/>
        <v>279.96976818142753</v>
      </c>
      <c r="J15" s="1">
        <f t="shared" si="1"/>
        <v>273.29375936905114</v>
      </c>
      <c r="K15" s="1">
        <f t="shared" si="1"/>
        <v>266.61775055667476</v>
      </c>
      <c r="L15" s="1">
        <f t="shared" si="1"/>
        <v>259.94281067866456</v>
      </c>
      <c r="M15" s="1">
        <f t="shared" si="1"/>
        <v>253.26787080065432</v>
      </c>
      <c r="N15" s="1">
        <f t="shared" si="1"/>
        <v>246.59436143604526</v>
      </c>
      <c r="O15" s="1">
        <f t="shared" si="1"/>
        <v>239.9208520714362</v>
      </c>
      <c r="P15" s="1">
        <f t="shared" si="1"/>
        <v>233.2490722789633</v>
      </c>
      <c r="Q15" s="1">
        <f t="shared" si="1"/>
        <v>226.57729248649036</v>
      </c>
      <c r="R15" s="1">
        <f t="shared" si="1"/>
        <v>219.9074657342868</v>
      </c>
      <c r="S15" s="1">
        <f t="shared" si="1"/>
        <v>213.23763898208321</v>
      </c>
      <c r="T15" s="1">
        <f t="shared" si="1"/>
        <v>206.56990338105072</v>
      </c>
      <c r="U15" s="1">
        <f t="shared" si="1"/>
        <v>199.9021677800182</v>
      </c>
      <c r="V15" s="1">
        <f t="shared" si="1"/>
        <v>193.23657004771786</v>
      </c>
      <c r="W15" s="1">
        <f t="shared" si="1"/>
        <v>186.57097231541749</v>
      </c>
      <c r="X15" s="1">
        <f t="shared" si="1"/>
        <v>179.90746573428811</v>
      </c>
      <c r="Y15" s="1">
        <f t="shared" si="1"/>
        <v>173.24395915315873</v>
      </c>
      <c r="Z15" s="1">
        <f t="shared" si="1"/>
        <v>166.58240561229854</v>
      </c>
      <c r="AA15" s="1">
        <f t="shared" si="1"/>
        <v>159.92085207143839</v>
      </c>
      <c r="AB15" s="1">
        <f t="shared" si="1"/>
        <v>153.26102810271419</v>
      </c>
      <c r="AC15" s="1">
        <f t="shared" si="1"/>
        <v>146.60120413398997</v>
      </c>
      <c r="AD15" s="1">
        <f t="shared" si="1"/>
        <v>139.94281067866672</v>
      </c>
      <c r="AE15" s="1">
        <f t="shared" si="1"/>
        <v>133.28441722334344</v>
      </c>
      <c r="AF15" s="1">
        <f t="shared" si="1"/>
        <v>126.62709270238616</v>
      </c>
      <c r="AG15" s="1">
        <f t="shared" si="1"/>
        <v>119.96976818142888</v>
      </c>
      <c r="AH15" s="1">
        <f t="shared" si="1"/>
        <v>113.31310429824151</v>
      </c>
      <c r="AI15" s="1">
        <f t="shared" si="1"/>
        <v>106.65644041505415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2021-09-07T09:09:39Z</dcterms:modified>
</cp:coreProperties>
</file>